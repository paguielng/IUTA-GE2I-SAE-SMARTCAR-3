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martCar_KiCad\SmartCar_KiCad\SmartCar_Etudiant\"/>
    </mc:Choice>
  </mc:AlternateContent>
  <xr:revisionPtr revIDLastSave="0" documentId="13_ncr:9_{0B453D1E-CF5F-4E11-A0DC-F0A42151DB4B}" xr6:coauthVersionLast="47" xr6:coauthVersionMax="47" xr10:uidLastSave="{00000000-0000-0000-0000-000000000000}"/>
  <bookViews>
    <workbookView xWindow="-108" yWindow="-108" windowWidth="23256" windowHeight="12456" xr2:uid="{20A5550E-77A5-4D46-9AC8-9030B1557C5A}"/>
  </bookViews>
  <sheets>
    <sheet name="SmartCar_Etudiant (2)" sheetId="2" r:id="rId1"/>
    <sheet name="SmartCar_Etudiant" sheetId="1" r:id="rId2"/>
  </sheets>
  <definedNames>
    <definedName name="DonnéesExternes_1" localSheetId="0" hidden="1">'SmartCar_Etudiant (2)'!$A$1:$I$48</definedName>
  </definedNames>
  <calcPr calcId="0"/>
</workbook>
</file>

<file path=xl/calcChain.xml><?xml version="1.0" encoding="utf-8"?>
<calcChain xmlns="http://schemas.openxmlformats.org/spreadsheetml/2006/main">
  <c r="H4" i="2" l="1"/>
  <c r="H50" i="2"/>
  <c r="H43" i="2"/>
  <c r="H44" i="2"/>
  <c r="H46" i="2"/>
  <c r="H47" i="2"/>
  <c r="H45" i="2"/>
  <c r="H14" i="2"/>
  <c r="H10" i="2"/>
  <c r="H20" i="2"/>
  <c r="H18" i="2"/>
  <c r="H9" i="2"/>
  <c r="H8" i="2"/>
  <c r="H16" i="2"/>
  <c r="H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69DB98-A2E2-49C5-824B-CCFC59B11D2E}" keepAlive="1" name="Requête - SmartCar_Etudiant" description="Connexion à la requête « SmartCar_Etudiant » dans le classeur." type="5" refreshedVersion="8" background="1" saveData="1">
    <dbPr connection="Provider=Microsoft.Mashup.OleDb.1;Data Source=$Workbook$;Location=SmartCar_Etudiant;Extended Properties=&quot;&quot;" command="SELECT * FROM [SmartCar_Etudiant]"/>
  </connection>
</connections>
</file>

<file path=xl/sharedStrings.xml><?xml version="1.0" encoding="utf-8"?>
<sst xmlns="http://schemas.openxmlformats.org/spreadsheetml/2006/main" count="387" uniqueCount="195">
  <si>
    <t>Reference,"Qty","Value","DNP","Exclude from BOM","Exclude from Board","Footprint","Datasheet"</t>
  </si>
  <si>
    <t>BP1,"1","Button_Reset","","","","My_footprints:Button_Reset","https://www.farnell.com/datasheets/3975354.pdf?_gl=1*1f6nbd1*_gcl_aw*R0NMLjE3NjU2NDI2OTUuQ2owS0NRaUF1dlRKQmhDd0FSSXNBTDZEZW1nQjE0blpvT1IyQ1NYbkNNNF91aEoxNU0wTTlvSGdYSmZqVTVFOE1GWEZEMlBsaVJhUklmUWFBa3VTRUFMd193Y0I.*_gcl_au*MTQzMTk2NjUzNC4xNzY0MTcxMTE0"</t>
  </si>
  <si>
    <t>C1,C6,"2","10uF","","","","Capacitor_SMD:C_1206_3216Metric","https://4donline.ihs.com/images/VipMasterIC/IC/SEMS/SEMS-S-A0008384515/SEMS-S-A0008888671-1.pdf?hkey=6D3A4C79FDBF58556ACFDE234799DDF0"</t>
  </si>
  <si>
    <t>C2,C5,C8,C9,C10,C11,C12,C13,C14,C15,C16,C17,C19,C20,C23,"15","100n","","","","Capacitor_SMD:C_1206_3216Metric","https://content.kemet.com/datasheets/KEM_C1002_X7R_SMD.pdf"</t>
  </si>
  <si>
    <t>C3,"1","100n","","","","My_footprints:CAPA_FILM_L7.2mm_W2.5mm_P5.00mm","https://content.kemet.com/datasheets/KEM_F3101_R82.pdf"</t>
  </si>
  <si>
    <t>C4,"1","22uF","","","","Capacitor_SMD:C_1206_3216Metric","https://4donline.ihs.com/images/VipMasterIC/IC/SEMS/SEMS-S-A0008384515/SEMS-S-A0008888671-1.pdf?hkey=6D3A4C79FDBF58556ACFDE234799DDF0"</t>
  </si>
  <si>
    <t>C18,"1","47uF","","","","My_footprints:CAP ELECTROLY CMS 5MM","https://www.farnell.com/datasheets/3486024.pdf?_gl=1*1wznr7o*_gcl_aw*R0NMLjE3NjU2NDI2OTUuQ2owS0NRaUF1dlRKQmhDd0FSSXNBTDZEZW1nQjE0blpvT1IyQ1NYbkNNNF91aEoxNU0wTTlvSGdYSmZqVTVFOE1GWEZEMlBsaVJhUklmUWFBa3VTRUFMd193Y0I.*_gcl_au*MTQzMTk2NjUzNC4xNzY0MTcxMTE0"</t>
  </si>
  <si>
    <t>C21,C30,"2","~","","","","Capacitor_SMD:C_1206_3216Metric","https://content.kemet.com/datasheets/KEM_C1002_X7R_SMD.pdf"</t>
  </si>
  <si>
    <t>CON1,CON8,CON10,"3","Conn_01x03","","","","Connector_Molex:Molex_KK-254_AE-6410-03A_1x03_P2.54mm_Vertical","https://www.gotronic.fr/pj-1261.pdf"</t>
  </si>
  <si>
    <t>CON3,CON5,CON6,"3","Conn_01x02","","","","Connector_Molex:Molex_KK-254_AE-6410-02A_1x02_P2.54mm_Vertical","https://www.gotronic.fr/pj-1261.pdf"</t>
  </si>
  <si>
    <t>CON7,"1","Conn_01x05","","","","Connector_Molex:Molex_KK-254_AE-6410-05A_1x05_P2.54mm_Vertical","https://www.gotronic.fr/pj-1261.pdf"</t>
  </si>
  <si>
    <t>CON9,"1","Conn_01x04","","","","Connector_Molex:Molex_KK-254_AE-6410-04A_1x04_P2.54mm_Vertical","https://www.gotronic.fr/pj-1261.pdf"</t>
  </si>
  <si>
    <t>CONN2,"1","USB_B","","","","My_footprints:USB_B","https://4donline.ihs.com/images/VipMasterIC/IC/SCMP/SCMP-S-A0010725696/SCMP-S-A0010725696-1.pdf?hkey=6D3A4C79FDBF58556ACFDE234799DDF0"</t>
  </si>
  <si>
    <t>D2,D3,"2","BAT42W-V","","","","My_footprints:D_SOD-123","https://www.farnell.com/datasheets/3775987.pdf?_gl=1*1kj4swu*_gcl_aw*R0NMLjE3NjU2NDI2OTUuQ2owS0NRaUF1dlRKQmhDd0FSSXNBTDZEZW1nQjE0blpvT1IyQ1NYbkNNNF91aEoxNU0wTTlvSGdYSmZqVTVFOE1GWEZEMlBsaVJhUklmUWFBa3VTRUFMd193Y0I.*_gcl_au*MTQzMTk2NjUzNC4xNzY0MTcxMTE0"</t>
  </si>
  <si>
    <t>J4,"1","Conn_Sil_06","","","","Connector_PinHeader_2.54mm:PinHeader_1x06_P2.54mm_Vertical","https://www.farnell.com/datasheets/2905949.pdf?_gl=1*1okw975*_gcl_aw*R0NMLjE3NjU2NDI2OTUuQ2owS0NRaUF1dlRKQmhDd0FSSXNBTDZEZW1nQjE0blpvT1IyQ1NYbkNNNF91aEoxNU0wTTlvSGdYSmZqVTVFOE1GWEZEMlBsaVJhUklmUWFBa3VTRUFMd193Y0I.*_gcl_au*MTQzMTk2NjUzNC4xNzY0MTcxMTE0 0 0 Centrer Centrer 0 0"</t>
  </si>
  <si>
    <t>J5,J6,"2","Conn_Sil_08","","","","Connector_PinHeader_2.54mm:PinHeader_1x08_P2.54mm_Vertical","https://www.farnell.com/datasheets/2905949.pdf?_gl=1*1okw975*_gcl_aw*R0NMLjE3NjU2NDI2OTUuQ2owS0NRaUF1dlRKQmhDd0FSSXNBTDZEZW1nQjE0blpvT1IyQ1NYbkNNNF91aEoxNU0wTTlvSGdYSmZqVTVFOE1GWEZEMlBsaVJhUklmUWFBa3VTRUFMd193Y0I.*_gcl_au*MTQzMTk2NjUzNC4xNzY0MTcxMTE0 0 0 Centrer Centrer 0 0"</t>
  </si>
  <si>
    <t>J7,"1","Conn_Sil_10","","","","Connector_PinHeader_2.54mm:PinHeader_1x10_P2.54mm_Vertical","https://www.farnell.com/datasheets/2905949.pdf?_gl=1*1okw975*_gcl_aw*R0NMLjE3NjU2NDI2OTUuQ2owS0NRaUF1dlRKQmhDd0FSSXNBTDZEZW1nQjE0blpvT1IyQ1NYbkNNNF91aEoxNU0wTTlvSGdYSmZqVTVFOE1GWEZEMlBsaVJhUklmUWFBa3VTRUFMd193Y0I.*_gcl_au*MTQzMTk2NjUzNC4xNzY0MTcxMTE0 0 0 Centrer Centrer 0 0"</t>
  </si>
  <si>
    <t>JP1,JP2,"2","Jumper_3_Bridged12","","Exclure de la Liste du MatÃ©riel","","Connector_PinHeader_2.54mm:PinHeader_1x03_P2.54mm_Vertical","https://www.farnell.com/datasheets/2905949.pdf?_gl=1*1okw975*_gcl_aw*R0NMLjE3NjU2NDI2OTUuQ2owS0NRaUF1dlRKQmhDd0FSSXNBTDZEZW1nQjE0blpvT1IyQ1NYbkNNNF91aEoxNU0wTTlvSGdYSmZqVTVFOE1GWEZEMlBsaVJhUklmUWFBa3VTRUFMd193Y0I.*_gcl_au*MTQzMTk2NjUzNC4xNzY0MTcxMTE0"</t>
  </si>
  <si>
    <t>JP3,"1","Jumper_2","","","","Connector_PinHeader_2.54mm:PinHeader_1x02_P2.54mm_Vertical","https://www.farnell.com/datasheets/2905949.pdf?_gl=1*1okw975*_gcl_aw*R0NMLjE3NjU2NDI2OTUuQ2owS0NRaUF1dlRKQmhDd0FSSXNBTDZEZW1nQjE0blpvT1IyQ1NYbkNNNF91aEoxNU0wTTlvSGdYSmZqVTVFOE1GWEZEMlBsaVJhUklmUWFBa3VTRUFMd193Y0I.*_gcl_au*MTQzMTk2NjUzNC4xNzY0MTcxMTE0"</t>
  </si>
  <si>
    <t>JP4,JP5,JP6,"3","Jumper_3","","Exclure de la Liste du MatÃ©riel","","Connector_PinHeader_2.54mm:PinHeader_1x03_P2.54mm_Vertical","https://www.farnell.com/datasheets/2905949.pdf?_gl=1*1okw975*_gcl_aw*R0NMLjE3NjU2NDI2OTUuQ2owS0NRaUF1dlRKQmhDd0FSSXNBTDZEZW1nQjE0blpvT1IyQ1NYbkNNNF91aEoxNU0wTTlvSGdYSmZqVTVFOE1GWEZEMlBsaVJhUklmUWFBa3VTRUFMd193Y0I.*_gcl_au*MTQzMTk2NjUzNC4xNzY0MTcxMTE0"</t>
  </si>
  <si>
    <t>LDR1,"1","LDR","","","","My_footprints:LDR_11x9.4mm_4.1x3.4mm_Vertical","https://www.farnell.com/datasheets/77395.pdf?_gl=1*conh1g*_gcl_aw*R0NMLjE3NjY0MjMwNjcuQ2p3S0NBaUE5YVBLQmhCaEVpd0F5ejgySjRGLW9mMG9GMVFzTWxHM2E1bUFwd2FGZ012LW1JNkFQcTFHUWhwbVdCYndWbTZUZnRBUmJ4b0MzZ2NRQXZEX0J3RQ..*_gcl_au*MTExOTg0Njg3My4xNzYzMTE0NTAw"</t>
  </si>
  <si>
    <t>LED1,"1","LED_BLEU","","","","LED_SMD:LED_1206_3216Metric","https://www.farnell.com/datasheets/2045849.pdf?_gl=1*2tkp48*_gcl_aw*R0NMLjE3NjU2NDI2OTUuQ2owS0NRaUF1dlRKQmhDd0FSSXNBTDZEZW1nQjE0blpvT1IyQ1NYbkNNNF91aEoxNU0wTTlvSGdYSmZqVTVFOE1GWEZEMlBsaVJhUklmUWFBa3VTRUFMd193Y0I.*_gcl_au*MTQzMTk2NjUzNC4xNzY0MTcxMTE0"</t>
  </si>
  <si>
    <t>LED2,"1","LED Orange","","","","My_footprints:LED_D3.0mm_Orange","https://www.farnell.com/datasheets/1747868.pdf?_gl=1*pae0vi*_gcl_aw*R0NMLjE3NjU2NDI2OTUuQ2owS0NRaUF1dlRKQmhDd0FSSXNBTDZEZW1nQjE0blpvT1IyQ1NYbkNNNF91aEoxNU0wTTlvSGdYSmZqVTVFOE1GWEZEMlBsaVJhUklmUWFBa3VTRUFMd193Y0I.*_gcl_au*MTQzMTk2NjUzNC4xNzY0MTcxMTE0"</t>
  </si>
  <si>
    <t>LED3,"1","LED Rouge","","","","LED_THT:LED_D3.0mm","https://www.farnell.com/datasheets/67052.pdf?_gl=1*mcv417*_gcl_aw*R0NMLjE3NjU2NDI2OTUuQ2owS0NRaUF1dlRKQmhDd0FSSXNBTDZEZW1nQjE0blpvT1IyQ1NYbkNNNF91aEoxNU0wTTlvSGdYSmZqVTVFOE1GWEZEMlBsaVJhUklmUWFBa3VTRUFMd193Y0I.*_gcl_au*MTQzMTk2NjUzNC4xNzY0MTcxMTE0"</t>
  </si>
  <si>
    <t>LED4,"1","LED Verte","","","","My_footprints:LED_D3.0mm_Green","https://www.farnell.com/datasheets/67043.pdf?_gl=1*1iej0tu*_gcl_aw*R0NMLjE3NjU2NDI2OTUuQ2owS0NRaUF1dlRKQmhDd0FSSXNBTDZEZW1nQjE0blpvT1IyQ1NYbkNNNF91aEoxNU0wTTlvSGdYSmZqVTVFOE1GWEZEMlBsaVJhUklmUWFBa3VTRUFMd193Y0I.*_gcl_au*MTQzMTk2NjUzNC4xNzY0MTcxMTE0"</t>
  </si>
  <si>
    <t>Q2,"1","2N2222A","","","","My_footprints:TO-18","https://www.farnell.com/datasheets/2861172.pdf?_gl=1*wrz45h*_gcl_aw*R0NMLjE3NjY0MjMwNjcuQ2p3S0NBaUE5YVBLQmhCaEVpd0F5ejgySjRGLW9mMG9GMVFzTWxHM2E1bUFwd2FGZ012LW1JNkFQcTFHUWhwbVdCYndWbTZUZnRBUmJ4b0MzZ2NRQXZEX0J3RQ..*_gcl_au*MTExOTg0Njg3My4xNzYzMTE0NTAw"</t>
  </si>
  <si>
    <t>R1,R2,"2","220","","","","Resistor_SMD:R_1206_3216Metric_Pad1.30x1.75mm_HandSolder","~"</t>
  </si>
  <si>
    <t>R3,"1","5.6k","","","","Resistor_SMD:R_1206_3216Metric_Pad1.30x1.75mm_HandSolder","~"</t>
  </si>
  <si>
    <t>R4,"1","3.3k","","","","Resistor_SMD:R_1206_3216Metric_Pad1.30x1.75mm_HandSolder","~"</t>
  </si>
  <si>
    <t>R5,R6,"2","10k","","","","Resistor_SMD:R_1206_3216Metric_Pad1.30x1.75mm_HandSolder","~"</t>
  </si>
  <si>
    <t>R7,"1","22k","","","","Resistor_SMD:R_1206_3216Metric_Pad1.30x1.75mm_HandSolder","~"</t>
  </si>
  <si>
    <t>R8,R17,R19,"3","470","","","","Resistor_THT:R_Axial_DIN0204_L3.6mm_D1.6mm_P7.62mm_Horizontal","~"</t>
  </si>
  <si>
    <t>R9,"1","2.2k","","","","Resistor_THT:R_Axial_DIN0204_L3.6mm_D1.6mm_P7.62mm_Horizontal","~"</t>
  </si>
  <si>
    <t>R10,"1","1M","","","","Resistor_SMD:R_1206_3216Metric_Pad1.30x1.75mm_HandSolder","~"</t>
  </si>
  <si>
    <t>R11,"1","10k","","","","Resistor_THT:R_Axial_DIN0204_L3.6mm_D1.6mm_P7.62mm_Horizontal","~"</t>
  </si>
  <si>
    <t>R12,R13,R14,R15,"4","1k","","","","Resistor_THT:R_Axial_DIN0204_L3.6mm_D1.6mm_P7.62mm_Horizontal","~"</t>
  </si>
  <si>
    <t>R16,R18,"2","5.6k","","","","Resistor_THT:R_Axial_DIN0204_L3.6mm_D1.6mm_P7.62mm_Horizontal","~"</t>
  </si>
  <si>
    <t>R20,R21,R23,"3","680","","","","Resistor_SMD:R_1206_3216Metric_Pad1.30x1.75mm_HandSolder","~"</t>
  </si>
  <si>
    <t>R22,"1","1k","","","","Resistor_SMD:R_1206_3216Metric_Pad1.30x1.75mm_HandSolder","~"</t>
  </si>
  <si>
    <t>R24,"1","2.2k","","","","Resistor_SMD:R_1206_3216Metric_Pad1.30x1.75mm_HandSolder","~"</t>
  </si>
  <si>
    <t>R25,R30,R40,"3","~","","","","Resistor_SMD:R_1206_3216Metric_Pad1.30x1.75mm_HandSolder","~"</t>
  </si>
  <si>
    <t>REF1,"1","ZTL431","","","","My_footprints:SOT-23","https://www.farnell.com/datasheets/2096831.pdf?_gl=1*y344nv*_gcl_aw*R0NMLjE3NjU2NDI2OTUuQ2owS0NRaUF1dlRKQmhDd0FSSXNBTDZEZW1nQjE0blpvT1IyQ1NYbkNNNF91aEoxNU0wTTlvSGdYSmZqVTVFOE1GWEZEMlBsaVJhUklmUWFBa3VTRUFMd193Y0I.*_gcl_au*MTQzMTk2NjUzNC4xNzY0MTcxMTE0"</t>
  </si>
  <si>
    <t>RPOT1,"1","470","","","","My_footprints:Potentiometer standard","https://www.farnell.com/datasheets/2661581.pdf?_gl=1*1rm43cq*_gcl_aw*R0NMLjE3NjU2NDI2OTUuQ2owS0NRaUF1dlRKQmhDd0FSSXNBTDZEZW1nQjE0blpvT1IyQ1NYbkNNNF91aEoxNU0wTTlvSGdYSmZqVTVFOE1GWEZEMlBsaVJhUklmUWFBa3VTRUFMd193Y0I.*_gcl_au*MTQzMTk2NjUzNC4xNzY0MTcxMTE0"</t>
  </si>
  <si>
    <t>RPOT2,RPOT3,"2","1k","","","","My_footprints:Potentiometer standard","https://www.farnell.com/datasheets/2661581.pdf?_gl=1*1rm43cq*_gcl_aw*R0NMLjE3NjU2NDI2OTUuQ2owS0NRaUF1dlRKQmhDd0FSSXNBTDZEZW1nQjE0blpvT1IyQ1NYbkNNNF91aEoxNU0wTTlvSGdYSmZqVTVFOE1GWEZEMlBsaVJhUklmUWFBa3VTRUFMd193Y0I.*_gcl_au*MTQzMTk2NjUzNC4xNzY0MTcxMTE0"</t>
  </si>
  <si>
    <t>RV1,"1","47k","","","","My_footprints:Potentiometer standard","https://www.farnell.com/datasheets/2661581.pdf?_gl=1*1rm43cq*_gcl_aw*R0NMLjE3NjU2NDI2OTUuQ2owS0NRaUF1dlRKQmhDd0FSSXNBTDZEZW1nQjE0blpvT1IyQ1NYbkNNNF91aEoxNU0wTTlvSGdYSmZqVTVFOE1GWEZEMlBsaVJhUklmUWFBa3VTRUFMd193Y0I.*_gcl_au*MTQzMTk2NjUzNC4xNzY0MTcxMTE0"</t>
  </si>
  <si>
    <t>TP1,TP2,TP3,TP4,TP5,TP6,TP7,TP9,TP12,TP13,TP16,TP18,"12","TestPoint","","","","My_footprints:PT","https://www.gotronic.fr/art-50-cosses-poignard-coy71-4692.htm"</t>
  </si>
  <si>
    <t>U1,U2,U3,"3","MCP6002","","","","My_footprints:SO8_3.9x4.9mm_P1.27mm","https://www.microchip.com/en-us/product/mcp6002"</t>
  </si>
  <si>
    <t>U4,"1","MCP9801_SO8,NE555D","","","","My_footprints:DIL8,U5","http://ww1.microchip.com/downloads/en/DeviceDoc/21909d.pdf,http://www.ti.com/lit/ds/symlink/ne555.pdf"</t>
  </si>
  <si>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</si>
  <si>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</si>
  <si>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</si>
  <si>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</si>
  <si>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</si>
  <si>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</si>
  <si>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</si>
  <si>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</si>
  <si>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BP1</t>
  </si>
  <si>
    <t>Button_Reset</t>
  </si>
  <si>
    <t/>
  </si>
  <si>
    <t>My_footprints:Button_Reset</t>
  </si>
  <si>
    <t>https://www.farnell.com/datasheets/3975354.pdf?_gl=1*1f6nbd1*_gcl_aw*R0NMLjE3NjU2NDI2OTUuQ2owS0NRaUF1dlRKQmhDd0FSSXNBTDZEZW1nQjE0blpvT1IyQ1NYbkNNNF91aEoxNU0wTTlvSGdYSmZqVTVFOE1GWEZEMlBsaVJhUklmUWFBa3VTRUFMd193Y0I.*_gcl_au*MTQzMTk2NjUzNC4xNzY0MTcxMTE0</t>
  </si>
  <si>
    <t>C1,C6</t>
  </si>
  <si>
    <t>10uF</t>
  </si>
  <si>
    <t>Capacitor_SMD:C_1206_3216Metric</t>
  </si>
  <si>
    <t>https://4donline.ihs.com/images/VipMasterIC/IC/SEMS/SEMS-S-A0008384515/SEMS-S-A0008888671-1.pdf?hkey=6D3A4C79FDBF58556ACFDE234799DDF0</t>
  </si>
  <si>
    <t>C2,C5,C8,C9,C10,C11,C12,C13,C14,C15,C16,C17,C19,C20,C23</t>
  </si>
  <si>
    <t>100n</t>
  </si>
  <si>
    <t>https://content.kemet.com/datasheets/KEM_C1002_X7R_SMD.pdf</t>
  </si>
  <si>
    <t>C3</t>
  </si>
  <si>
    <t>My_footprints:CAPA_FILM_L7.2mm_W2.5mm_P5.00mm</t>
  </si>
  <si>
    <t>https://content.kemet.com/datasheets/KEM_F3101_R82.pdf</t>
  </si>
  <si>
    <t>C4</t>
  </si>
  <si>
    <t>22uF</t>
  </si>
  <si>
    <t>C18</t>
  </si>
  <si>
    <t>47uF</t>
  </si>
  <si>
    <t>My_footprints:CAP ELECTROLY CMS 5MM</t>
  </si>
  <si>
    <t>https://www.farnell.com/datasheets/3486024.pdf?_gl=1*1wznr7o*_gcl_aw*R0NMLjE3NjU2NDI2OTUuQ2owS0NRaUF1dlRKQmhDd0FSSXNBTDZEZW1nQjE0blpvT1IyQ1NYbkNNNF91aEoxNU0wTTlvSGdYSmZqVTVFOE1GWEZEMlBsaVJhUklmUWFBa3VTRUFMd193Y0I.*_gcl_au*MTQzMTk2NjUzNC4xNzY0MTcxMTE0</t>
  </si>
  <si>
    <t>C21,C30</t>
  </si>
  <si>
    <t>~</t>
  </si>
  <si>
    <t>CON1,CON8,CON10</t>
  </si>
  <si>
    <t>Conn_01x03</t>
  </si>
  <si>
    <t>Connector_Molex:Molex_KK-254_AE-6410-03A_1x03_P2.54mm_Vertical</t>
  </si>
  <si>
    <t>https://www.gotronic.fr/pj-1261.pdf</t>
  </si>
  <si>
    <t>CON3,CON5,CON6</t>
  </si>
  <si>
    <t>Conn_01x02</t>
  </si>
  <si>
    <t>Connector_Molex:Molex_KK-254_AE-6410-02A_1x02_P2.54mm_Vertical</t>
  </si>
  <si>
    <t>CON7</t>
  </si>
  <si>
    <t>Conn_01x05</t>
  </si>
  <si>
    <t>Connector_Molex:Molex_KK-254_AE-6410-05A_1x05_P2.54mm_Vertical</t>
  </si>
  <si>
    <t>CON9</t>
  </si>
  <si>
    <t>Conn_01x04</t>
  </si>
  <si>
    <t>Connector_Molex:Molex_KK-254_AE-6410-04A_1x04_P2.54mm_Vertical</t>
  </si>
  <si>
    <t>CONN2</t>
  </si>
  <si>
    <t>USB_B</t>
  </si>
  <si>
    <t>My_footprints:USB_B</t>
  </si>
  <si>
    <t>https://4donline.ihs.com/images/VipMasterIC/IC/SCMP/SCMP-S-A0010725696/SCMP-S-A0010725696-1.pdf?hkey=6D3A4C79FDBF58556ACFDE234799DDF0</t>
  </si>
  <si>
    <t>D2,D3</t>
  </si>
  <si>
    <t>BAT42W-V</t>
  </si>
  <si>
    <t>My_footprints:D_SOD-123</t>
  </si>
  <si>
    <t>https://www.farnell.com/datasheets/3775987.pdf?_gl=1*1kj4swu*_gcl_aw*R0NMLjE3NjU2NDI2OTUuQ2owS0NRaUF1dlRKQmhDd0FSSXNBTDZEZW1nQjE0blpvT1IyQ1NYbkNNNF91aEoxNU0wTTlvSGdYSmZqVTVFOE1GWEZEMlBsaVJhUklmUWFBa3VTRUFMd193Y0I.*_gcl_au*MTQzMTk2NjUzNC4xNzY0MTcxMTE0</t>
  </si>
  <si>
    <t>J4</t>
  </si>
  <si>
    <t>Conn_Sil_06</t>
  </si>
  <si>
    <t>Connector_PinHeader_2.54mm:PinHeader_1x06_P2.54mm_Vertical</t>
  </si>
  <si>
    <t>https://www.farnell.com/datasheets/2905949.pdf?_gl=1*1okw975*_gcl_aw*R0NMLjE3NjU2NDI2OTUuQ2owS0NRaUF1dlRKQmhDd0FSSXNBTDZEZW1nQjE0blpvT1IyQ1NYbkNNNF91aEoxNU0wTTlvSGdYSmZqVTVFOE1GWEZEMlBsaVJhUklmUWFBa3VTRUFMd193Y0I.*_gcl_au*MTQzMTk2NjUzNC4xNzY0MTcxMTE0 0 0 Centrer Centrer 0 0</t>
  </si>
  <si>
    <t>J5,J6</t>
  </si>
  <si>
    <t>Conn_Sil_08</t>
  </si>
  <si>
    <t>Connector_PinHeader_2.54mm:PinHeader_1x08_P2.54mm_Vertical</t>
  </si>
  <si>
    <t>J7</t>
  </si>
  <si>
    <t>Conn_Sil_10</t>
  </si>
  <si>
    <t>Connector_PinHeader_2.54mm:PinHeader_1x10_P2.54mm_Vertical</t>
  </si>
  <si>
    <t>JP1,JP2</t>
  </si>
  <si>
    <t>Jumper_3_Bridged12</t>
  </si>
  <si>
    <t>Exclure de la Liste du Matériel</t>
  </si>
  <si>
    <t>Connector_PinHeader_2.54mm:PinHeader_1x03_P2.54mm_Vertical</t>
  </si>
  <si>
    <t>https://www.farnell.com/datasheets/2905949.pdf?_gl=1*1okw975*_gcl_aw*R0NMLjE3NjU2NDI2OTUuQ2owS0NRaUF1dlRKQmhDd0FSSXNBTDZEZW1nQjE0blpvT1IyQ1NYbkNNNF91aEoxNU0wTTlvSGdYSmZqVTVFOE1GWEZEMlBsaVJhUklmUWFBa3VTRUFMd193Y0I.*_gcl_au*MTQzMTk2NjUzNC4xNzY0MTcxMTE0</t>
  </si>
  <si>
    <t>JP3</t>
  </si>
  <si>
    <t>Jumper_2</t>
  </si>
  <si>
    <t>Connector_PinHeader_2.54mm:PinHeader_1x02_P2.54mm_Vertical</t>
  </si>
  <si>
    <t>JP4,JP5,JP6</t>
  </si>
  <si>
    <t>Jumper_3</t>
  </si>
  <si>
    <t>LDR1</t>
  </si>
  <si>
    <t>LDR</t>
  </si>
  <si>
    <t>My_footprints:LDR_11x9.4mm_4.1x3.4mm_Vertical</t>
  </si>
  <si>
    <t>https://www.farnell.com/datasheets/77395.pdf?_gl=1*conh1g*_gcl_aw*R0NMLjE3NjY0MjMwNjcuQ2p3S0NBaUE5YVBLQmhCaEVpd0F5ejgySjRGLW9mMG9GMVFzTWxHM2E1bUFwd2FGZ012LW1JNkFQcTFHUWhwbVdCYndWbTZUZnRBUmJ4b0MzZ2NRQXZEX0J3RQ..*_gcl_au*MTExOTg0Njg3My4xNzYzMTE0NTAw</t>
  </si>
  <si>
    <t>LED1</t>
  </si>
  <si>
    <t>LED_BLEU</t>
  </si>
  <si>
    <t>LED_SMD:LED_1206_3216Metric</t>
  </si>
  <si>
    <t>https://www.farnell.com/datasheets/2045849.pdf?_gl=1*2tkp48*_gcl_aw*R0NMLjE3NjU2NDI2OTUuQ2owS0NRaUF1dlRKQmhDd0FSSXNBTDZEZW1nQjE0blpvT1IyQ1NYbkNNNF91aEoxNU0wTTlvSGdYSmZqVTVFOE1GWEZEMlBsaVJhUklmUWFBa3VTRUFMd193Y0I.*_gcl_au*MTQzMTk2NjUzNC4xNzY0MTcxMTE0</t>
  </si>
  <si>
    <t>LED2</t>
  </si>
  <si>
    <t>LED Orange</t>
  </si>
  <si>
    <t>My_footprints:LED_D3.0mm_Orange</t>
  </si>
  <si>
    <t>https://www.farnell.com/datasheets/1747868.pdf?_gl=1*pae0vi*_gcl_aw*R0NMLjE3NjU2NDI2OTUuQ2owS0NRaUF1dlRKQmhDd0FSSXNBTDZEZW1nQjE0blpvT1IyQ1NYbkNNNF91aEoxNU0wTTlvSGdYSmZqVTVFOE1GWEZEMlBsaVJhUklmUWFBa3VTRUFMd193Y0I.*_gcl_au*MTQzMTk2NjUzNC4xNzY0MTcxMTE0</t>
  </si>
  <si>
    <t>LED3</t>
  </si>
  <si>
    <t>LED Rouge</t>
  </si>
  <si>
    <t>LED_THT:LED_D3.0mm</t>
  </si>
  <si>
    <t>https://www.farnell.com/datasheets/67052.pdf?_gl=1*mcv417*_gcl_aw*R0NMLjE3NjU2NDI2OTUuQ2owS0NRaUF1dlRKQmhDd0FSSXNBTDZEZW1nQjE0blpvT1IyQ1NYbkNNNF91aEoxNU0wTTlvSGdYSmZqVTVFOE1GWEZEMlBsaVJhUklmUWFBa3VTRUFMd193Y0I.*_gcl_au*MTQzMTk2NjUzNC4xNzY0MTcxMTE0</t>
  </si>
  <si>
    <t>LED4</t>
  </si>
  <si>
    <t>LED Verte</t>
  </si>
  <si>
    <t>My_footprints:LED_D3.0mm_Green</t>
  </si>
  <si>
    <t>https://www.farnell.com/datasheets/67043.pdf?_gl=1*1iej0tu*_gcl_aw*R0NMLjE3NjU2NDI2OTUuQ2owS0NRaUF1dlRKQmhDd0FSSXNBTDZEZW1nQjE0blpvT1IyQ1NYbkNNNF91aEoxNU0wTTlvSGdYSmZqVTVFOE1GWEZEMlBsaVJhUklmUWFBa3VTRUFMd193Y0I.*_gcl_au*MTQzMTk2NjUzNC4xNzY0MTcxMTE0</t>
  </si>
  <si>
    <t>Q2</t>
  </si>
  <si>
    <t>2N2222A</t>
  </si>
  <si>
    <t>My_footprints:TO-18</t>
  </si>
  <si>
    <t>https://www.farnell.com/datasheets/2861172.pdf?_gl=1*wrz45h*_gcl_aw*R0NMLjE3NjY0MjMwNjcuQ2p3S0NBaUE5YVBLQmhCaEVpd0F5ejgySjRGLW9mMG9GMVFzTWxHM2E1bUFwd2FGZ012LW1JNkFQcTFHUWhwbVdCYndWbTZUZnRBUmJ4b0MzZ2NRQXZEX0J3RQ..*_gcl_au*MTExOTg0Njg3My4xNzYzMTE0NTAw</t>
  </si>
  <si>
    <t>R1,R2</t>
  </si>
  <si>
    <t>220</t>
  </si>
  <si>
    <t>Resistor_SMD:R_1206_3216Metric_Pad1.30x1.75mm_HandSolder</t>
  </si>
  <si>
    <t>R3</t>
  </si>
  <si>
    <t>5.6k</t>
  </si>
  <si>
    <t>R4</t>
  </si>
  <si>
    <t>3.3k</t>
  </si>
  <si>
    <t>R5,R6</t>
  </si>
  <si>
    <t>10k</t>
  </si>
  <si>
    <t>R7</t>
  </si>
  <si>
    <t>22k</t>
  </si>
  <si>
    <t>R8,R17,R19</t>
  </si>
  <si>
    <t>470</t>
  </si>
  <si>
    <t>Resistor_THT:R_Axial_DIN0204_L3.6mm_D1.6mm_P7.62mm_Horizontal</t>
  </si>
  <si>
    <t>R9</t>
  </si>
  <si>
    <t>2.2k</t>
  </si>
  <si>
    <t>R10</t>
  </si>
  <si>
    <t>1M</t>
  </si>
  <si>
    <t>R11</t>
  </si>
  <si>
    <t>R12,R13,R14,R15</t>
  </si>
  <si>
    <t>1k</t>
  </si>
  <si>
    <t>R16,R18</t>
  </si>
  <si>
    <t>R20,R21,R23</t>
  </si>
  <si>
    <t>680</t>
  </si>
  <si>
    <t>R22</t>
  </si>
  <si>
    <t>R24</t>
  </si>
  <si>
    <t>R25,R30,R40</t>
  </si>
  <si>
    <t>REF1</t>
  </si>
  <si>
    <t>ZTL431</t>
  </si>
  <si>
    <t>My_footprints:SOT-23</t>
  </si>
  <si>
    <t>https://www.farnell.com/datasheets/2096831.pdf?_gl=1*y344nv*_gcl_aw*R0NMLjE3NjU2NDI2OTUuQ2owS0NRaUF1dlRKQmhDd0FSSXNBTDZEZW1nQjE0blpvT1IyQ1NYbkNNNF91aEoxNU0wTTlvSGdYSmZqVTVFOE1GWEZEMlBsaVJhUklmUWFBa3VTRUFMd193Y0I.*_gcl_au*MTQzMTk2NjUzNC4xNzY0MTcxMTE0</t>
  </si>
  <si>
    <t>RPOT1</t>
  </si>
  <si>
    <t>My_footprints:Potentiometer standard</t>
  </si>
  <si>
    <t>https://www.farnell.com/datasheets/2661581.pdf?_gl=1*1rm43cq*_gcl_aw*R0NMLjE3NjU2NDI2OTUuQ2owS0NRaUF1dlRKQmhDd0FSSXNBTDZEZW1nQjE0blpvT1IyQ1NYbkNNNF91aEoxNU0wTTlvSGdYSmZqVTVFOE1GWEZEMlBsaVJhUklmUWFBa3VTRUFMd193Y0I.*_gcl_au*MTQzMTk2NjUzNC4xNzY0MTcxMTE0</t>
  </si>
  <si>
    <t>RPOT2,RPOT3</t>
  </si>
  <si>
    <t>RV1</t>
  </si>
  <si>
    <t>47k</t>
  </si>
  <si>
    <t>TP1,TP2,TP3,TP4,TP5,TP6,TP7,TP9,TP12,TP13,TP16,TP18</t>
  </si>
  <si>
    <t>TestPoint</t>
  </si>
  <si>
    <t>My_footprints:PT</t>
  </si>
  <si>
    <t>https://www.gotronic.fr/art-50-cosses-poignard-coy71-4692.htm</t>
  </si>
  <si>
    <t>U1,U2,U3</t>
  </si>
  <si>
    <t>MCP6002</t>
  </si>
  <si>
    <t>My_footprints:SO8_3.9x4.9mm_P1.27mm</t>
  </si>
  <si>
    <t>https://www.microchip.com/en-us/product/mcp6002</t>
  </si>
  <si>
    <t>U4</t>
  </si>
  <si>
    <t>MCP9801_SO8,NE555D</t>
  </si>
  <si>
    <t>My_footprints:DIL8,U5</t>
  </si>
  <si>
    <t>http://ww1.microchip.com/downloads/en/DeviceDoc/21909d.pdf,http://www.ti.com/lit/ds/symlink/ne555.pdf</t>
  </si>
  <si>
    <t>Prix de 100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</si>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</sst>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18" fillId="0" borderId="0" xfId="42" applyNumberFormat="1"/>
    <xf numFmtId="44" fontId="0" fillId="0" borderId="0" xfId="0" applyNumberFormat="1"/>
    <xf numFmtId="0" fontId="16" fillId="0" borderId="0" xfId="0" applyFont="1"/>
    <xf numFmtId="44" fontId="16" fillId="0" borderId="0" xfId="0" applyNumberFormat="1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numFmt numFmtId="34" formatCode="_-* #,##0.00\ &quot;€&quot;_-;\-* #,##0.0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A170FD9-A24B-4F05-96AC-374A663DD72C}" autoFormatId="16" applyNumberFormats="0" applyBorderFormats="0" applyFontFormats="0" applyPatternFormats="0" applyAlignmentFormats="0" applyWidthHeightFormats="0">
  <queryTableRefresh nextId="10">
    <queryTableFields count="9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9" dataBound="0" tableColumnId="9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F0765-F269-4DDA-A9A1-125590746018}" name="SmartCar_Etudiant" displayName="SmartCar_Etudiant" ref="A1:I48" tableType="queryTable" totalsRowShown="0">
  <autoFilter ref="A1:I48" xr:uid="{77BF0765-F269-4DDA-A9A1-125590746018}"/>
  <tableColumns count="9">
    <tableColumn id="1" xr3:uid="{294BAE34-03C0-4022-9E9F-D46474466FAD}" uniqueName="1" name="Reference" queryTableFieldId="1" dataDxfId="7"/>
    <tableColumn id="2" xr3:uid="{295BC879-7BC1-4B92-8439-75AB10897574}" uniqueName="2" name="Qty" queryTableFieldId="2"/>
    <tableColumn id="3" xr3:uid="{AFDA8CA7-6175-455C-B88C-165DD99C5E68}" uniqueName="3" name="Value" queryTableFieldId="3" dataDxfId="6"/>
    <tableColumn id="4" xr3:uid="{7AF5CA7A-B198-478C-A5B2-C2BAE1A5F44B}" uniqueName="4" name="DNP" queryTableFieldId="4" dataDxfId="5"/>
    <tableColumn id="5" xr3:uid="{CF668481-F976-4375-B506-2E1C5886EF96}" uniqueName="5" name="Exclude from BOM" queryTableFieldId="5" dataDxfId="4"/>
    <tableColumn id="6" xr3:uid="{C472B29E-D153-410E-8183-61C4D44E1FF4}" uniqueName="6" name="Exclude from Board" queryTableFieldId="6" dataDxfId="3"/>
    <tableColumn id="7" xr3:uid="{819A15FE-3AC4-4620-9280-2328E20CCD3A}" uniqueName="7" name="Footprint" queryTableFieldId="7" dataDxfId="2"/>
    <tableColumn id="9" xr3:uid="{C29D222D-8D9D-4F14-8BA7-4BF3ED21745F}" uniqueName="9" name="Prix de 100" queryTableFieldId="9" dataDxfId="0"/>
    <tableColumn id="8" xr3:uid="{32514C19-A2DE-4050-B733-D7DDAD86AC6D}" uniqueName="8" name="Datasheet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rnell.com/datasheets/2905949.pdf?_gl=1*1okw975*_gcl_aw*R0NMLjE3NjU2NDI2OTUuQ2owS0NRaUF1dlRKQmhDd0FSSXNBTDZEZW1nQjE0blpvT1IyQ1NYbkNNNF91aEoxNU0wTTlvSGdYSmZqVTVFOE1GWEZEMlBsaVJhUklmUWFBa3VTRUFMd193Y0I.*_gcl_au*MTQzMTk2NjUzNC4xNzY0MTcxMTE0%200%200%20Centrer%20Centrer%200%200" TargetMode="External"/><Relationship Id="rId18" Type="http://schemas.openxmlformats.org/officeDocument/2006/relationships/hyperlink" Target="https://www.farnell.com/datasheets/2905949.pdf?_gl=1*1okw975*_gcl_aw*R0NMLjE3NjU2NDI2OTUuQ2owS0NRaUF1dlRKQmhDd0FSSXNBTDZEZW1nQjE0blpvT1IyQ1NYbkNNNF91aEoxNU0wTTlvSGdYSmZqVTVFOE1GWEZEMlBsaVJhUklmUWFBa3VTRUFMd193Y0I.*_gcl_au*MTQzMTk2NjUzNC4xNzY0MTcxMTE0%200%200%20Centrer%20Centrer%200%200" TargetMode="External"/><Relationship Id="rId26" Type="http://schemas.openxmlformats.org/officeDocument/2006/relationships/hyperlink" Target="https://www.farnell.com/datasheets/2661581.pdf?_gl=1*1rm43cq*_gcl_aw*R0NMLjE3NjU2NDI2OTUuQ2owS0NRaUF1dlRKQmhDd0FSSXNBTDZEZW1nQjE0blpvT1IyQ1NYbkNNNF91aEoxNU0wTTlvSGdYSmZqVTVFOE1GWEZEMlBsaVJhUklmUWFBa3VTRUFMd193Y0I.*_gcl_au*MTQzMTk2NjUzNC4xNzY0MTcxMTE0" TargetMode="External"/><Relationship Id="rId3" Type="http://schemas.openxmlformats.org/officeDocument/2006/relationships/hyperlink" Target="https://content.kemet.com/datasheets/KEM_C1002_X7R_SMD.pdf" TargetMode="External"/><Relationship Id="rId21" Type="http://schemas.openxmlformats.org/officeDocument/2006/relationships/hyperlink" Target="https://www.gotronic.fr/art-50-cosses-poignard-coy71-4692.htm" TargetMode="External"/><Relationship Id="rId7" Type="http://schemas.openxmlformats.org/officeDocument/2006/relationships/hyperlink" Target="https://www.farnell.com/datasheets/3486024.pdf?_gl=1*1wznr7o*_gcl_aw*R0NMLjE3NjU2NDI2OTUuQ2owS0NRaUF1dlRKQmhDd0FSSXNBTDZEZW1nQjE0blpvT1IyQ1NYbkNNNF91aEoxNU0wTTlvSGdYSmZqVTVFOE1GWEZEMlBsaVJhUklmUWFBa3VTRUFMd193Y0I.*_gcl_au*MTQzMTk2NjUzNC4xNzY0MTcxMTE0" TargetMode="External"/><Relationship Id="rId12" Type="http://schemas.openxmlformats.org/officeDocument/2006/relationships/hyperlink" Target="https://4donline.ihs.com/images/VipMasterIC/IC/SCMP/SCMP-S-A0010725696/SCMP-S-A0010725696-1.pdf?hkey=6D3A4C79FDBF58556ACFDE234799DDF0" TargetMode="External"/><Relationship Id="rId17" Type="http://schemas.openxmlformats.org/officeDocument/2006/relationships/hyperlink" Target="https://www.farnell.com/datasheets/2905949.pdf?_gl=1*1okw975*_gcl_aw*R0NMLjE3NjU2NDI2OTUuQ2owS0NRaUF1dlRKQmhDd0FSSXNBTDZEZW1nQjE0blpvT1IyQ1NYbkNNNF91aEoxNU0wTTlvSGdYSmZqVTVFOE1GWEZEMlBsaVJhUklmUWFBa3VTRUFMd193Y0I.*_gcl_au*MTQzMTk2NjUzNC4xNzY0MTcxMTE0%200%200%20Centrer%20Centrer%200%200" TargetMode="External"/><Relationship Id="rId25" Type="http://schemas.openxmlformats.org/officeDocument/2006/relationships/hyperlink" Target="http://ww1.microchip.com/downloads/en/DeviceDoc/21909d.pdf,http:/www.ti.com/lit/ds/symlink/ne555.pdf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4donline.ihs.com/images/VipMasterIC/IC/SEMS/SEMS-S-A0008384515/SEMS-S-A0008888671-1.pdf?hkey=6D3A4C79FDBF58556ACFDE234799DDF0" TargetMode="External"/><Relationship Id="rId16" Type="http://schemas.openxmlformats.org/officeDocument/2006/relationships/hyperlink" Target="https://www.farnell.com/datasheets/1747868.pdf?_gl=1*pae0vi*_gcl_aw*R0NMLjE3NjU2NDI2OTUuQ2owS0NRaUF1dlRKQmhDd0FSSXNBTDZEZW1nQjE0blpvT1IyQ1NYbkNNNF91aEoxNU0wTTlvSGdYSmZqVTVFOE1GWEZEMlBsaVJhUklmUWFBa3VTRUFMd193Y0I.*_gcl_au*MTQzMTk2NjUzNC4xNzY0MTcxMTE0" TargetMode="External"/><Relationship Id="rId20" Type="http://schemas.openxmlformats.org/officeDocument/2006/relationships/hyperlink" Target="https://www.microchip.com/en-us/product/mcp6002" TargetMode="External"/><Relationship Id="rId29" Type="http://schemas.openxmlformats.org/officeDocument/2006/relationships/hyperlink" Target="https://www.farnell.com/datasheets/2096831.pdf?_gl=1*y344nv*_gcl_aw*R0NMLjE3NjU2NDI2OTUuQ2owS0NRaUF1dlRKQmhDd0FSSXNBTDZEZW1nQjE0blpvT1IyQ1NYbkNNNF91aEoxNU0wTTlvSGdYSmZqVTVFOE1GWEZEMlBsaVJhUklmUWFBa3VTRUFMd193Y0I.*_gcl_au*MTQzMTk2NjUzNC4xNzY0MTcxMTE0" TargetMode="External"/><Relationship Id="rId1" Type="http://schemas.openxmlformats.org/officeDocument/2006/relationships/hyperlink" Target="https://www.farnell.com/datasheets/3975354.pdf?_gl=1*1f6nbd1*_gcl_aw*R0NMLjE3NjU2NDI2OTUuQ2owS0NRaUF1dlRKQmhDd0FSSXNBTDZEZW1nQjE0blpvT1IyQ1NYbkNNNF91aEoxNU0wTTlvSGdYSmZqVTVFOE1GWEZEMlBsaVJhUklmUWFBa3VTRUFMd193Y0I.*_gcl_au*MTQzMTk2NjUzNC4xNzY0MTcxMTE0" TargetMode="External"/><Relationship Id="rId6" Type="http://schemas.openxmlformats.org/officeDocument/2006/relationships/hyperlink" Target="https://content.kemet.com/datasheets/KEM_C1002_X7R_SMD.pdf" TargetMode="External"/><Relationship Id="rId11" Type="http://schemas.openxmlformats.org/officeDocument/2006/relationships/hyperlink" Target="https://www.gotronic.fr/pj-1261.pdf" TargetMode="External"/><Relationship Id="rId24" Type="http://schemas.openxmlformats.org/officeDocument/2006/relationships/hyperlink" Target="https://www.farnell.com/datasheets/2905949.pdf?_gl=1*1okw975*_gcl_aw*R0NMLjE3NjU2NDI2OTUuQ2owS0NRaUF1dlRKQmhDd0FSSXNBTDZEZW1nQjE0blpvT1IyQ1NYbkNNNF91aEoxNU0wTTlvSGdYSmZqVTVFOE1GWEZEMlBsaVJhUklmUWFBa3VTRUFMd193Y0I.*_gcl_au*MTQzMTk2NjUzNC4xNzY0MTcxMTE0" TargetMode="External"/><Relationship Id="rId32" Type="http://schemas.openxmlformats.org/officeDocument/2006/relationships/hyperlink" Target="https://www.farnell.com/datasheets/2045849.pdf?_gl=1*2tkp48*_gcl_aw*R0NMLjE3NjU2NDI2OTUuQ2owS0NRaUF1dlRKQmhDd0FSSXNBTDZEZW1nQjE0blpvT1IyQ1NYbkNNNF91aEoxNU0wTTlvSGdYSmZqVTVFOE1GWEZEMlBsaVJhUklmUWFBa3VTRUFMd193Y0I.*_gcl_au*MTQzMTk2NjUzNC4xNzY0MTcxMTE0" TargetMode="External"/><Relationship Id="rId5" Type="http://schemas.openxmlformats.org/officeDocument/2006/relationships/hyperlink" Target="https://4donline.ihs.com/images/VipMasterIC/IC/SEMS/SEMS-S-A0008384515/SEMS-S-A0008888671-1.pdf?hkey=6D3A4C79FDBF58556ACFDE234799DDF0" TargetMode="External"/><Relationship Id="rId15" Type="http://schemas.openxmlformats.org/officeDocument/2006/relationships/hyperlink" Target="https://www.farnell.com/datasheets/2905949.pdf?_gl=1*1okw975*_gcl_aw*R0NMLjE3NjU2NDI2OTUuQ2owS0NRaUF1dlRKQmhDd0FSSXNBTDZEZW1nQjE0blpvT1IyQ1NYbkNNNF91aEoxNU0wTTlvSGdYSmZqVTVFOE1GWEZEMlBsaVJhUklmUWFBa3VTRUFMd193Y0I.*_gcl_au*MTQzMTk2NjUzNC4xNzY0MTcxMTE0" TargetMode="External"/><Relationship Id="rId23" Type="http://schemas.openxmlformats.org/officeDocument/2006/relationships/hyperlink" Target="https://www.farnell.com/datasheets/77395.pdf?_gl=1*conh1g*_gcl_aw*R0NMLjE3NjY0MjMwNjcuQ2p3S0NBaUE5YVBLQmhCaEVpd0F5ejgySjRGLW9mMG9GMVFzTWxHM2E1bUFwd2FGZ012LW1JNkFQcTFHUWhwbVdCYndWbTZUZnRBUmJ4b0MzZ2NRQXZEX0J3RQ..*_gcl_au*MTExOTg0Njg3My4xNzYzMTE0NTAw" TargetMode="External"/><Relationship Id="rId28" Type="http://schemas.openxmlformats.org/officeDocument/2006/relationships/hyperlink" Target="https://www.farnell.com/datasheets/2661581.pdf?_gl=1*1rm43cq*_gcl_aw*R0NMLjE3NjU2NDI2OTUuQ2owS0NRaUF1dlRKQmhDd0FSSXNBTDZEZW1nQjE0blpvT1IyQ1NYbkNNNF91aEoxNU0wTTlvSGdYSmZqVTVFOE1GWEZEMlBsaVJhUklmUWFBa3VTRUFMd193Y0I.*_gcl_au*MTQzMTk2NjUzNC4xNzY0MTcxMTE0" TargetMode="External"/><Relationship Id="rId10" Type="http://schemas.openxmlformats.org/officeDocument/2006/relationships/hyperlink" Target="https://www.gotronic.fr/pj-1261.pdf" TargetMode="External"/><Relationship Id="rId19" Type="http://schemas.openxmlformats.org/officeDocument/2006/relationships/hyperlink" Target="https://www.farnell.com/datasheets/2905949.pdf?_gl=1*1okw975*_gcl_aw*R0NMLjE3NjU2NDI2OTUuQ2owS0NRaUF1dlRKQmhDd0FSSXNBTDZEZW1nQjE0blpvT1IyQ1NYbkNNNF91aEoxNU0wTTlvSGdYSmZqVTVFOE1GWEZEMlBsaVJhUklmUWFBa3VTRUFMd193Y0I.*_gcl_au*MTQzMTk2NjUzNC4xNzY0MTcxMTE0" TargetMode="External"/><Relationship Id="rId31" Type="http://schemas.openxmlformats.org/officeDocument/2006/relationships/hyperlink" Target="https://www.farnell.com/datasheets/67052.pdf?_gl=1*mcv417*_gcl_aw*R0NMLjE3NjU2NDI2OTUuQ2owS0NRaUF1dlRKQmhDd0FSSXNBTDZEZW1nQjE0blpvT1IyQ1NYbkNNNF91aEoxNU0wTTlvSGdYSmZqVTVFOE1GWEZEMlBsaVJhUklmUWFBa3VTRUFMd193Y0I.*_gcl_au*MTQzMTk2NjUzNC4xNzY0MTcxMTE0" TargetMode="External"/><Relationship Id="rId4" Type="http://schemas.openxmlformats.org/officeDocument/2006/relationships/hyperlink" Target="https://content.kemet.com/datasheets/KEM_F3101_R82.pdf" TargetMode="External"/><Relationship Id="rId9" Type="http://schemas.openxmlformats.org/officeDocument/2006/relationships/hyperlink" Target="https://www.gotronic.fr/pj-1261.pdf" TargetMode="External"/><Relationship Id="rId14" Type="http://schemas.openxmlformats.org/officeDocument/2006/relationships/hyperlink" Target="https://www.farnell.com/datasheets/3775987.pdf?_gl=1*1kj4swu*_gcl_aw*R0NMLjE3NjU2NDI2OTUuQ2owS0NRaUF1dlRKQmhDd0FSSXNBTDZEZW1nQjE0blpvT1IyQ1NYbkNNNF91aEoxNU0wTTlvSGdYSmZqVTVFOE1GWEZEMlBsaVJhUklmUWFBa3VTRUFMd193Y0I.*_gcl_au*MTQzMTk2NjUzNC4xNzY0MTcxMTE0" TargetMode="External"/><Relationship Id="rId22" Type="http://schemas.openxmlformats.org/officeDocument/2006/relationships/hyperlink" Target="https://www.farnell.com/datasheets/2861172.pdf?_gl=1*wrz45h*_gcl_aw*R0NMLjE3NjY0MjMwNjcuQ2p3S0NBaUE5YVBLQmhCaEVpd0F5ejgySjRGLW9mMG9GMVFzTWxHM2E1bUFwd2FGZ012LW1JNkFQcTFHUWhwbVdCYndWbTZUZnRBUmJ4b0MzZ2NRQXZEX0J3RQ..*_gcl_au*MTExOTg0Njg3My4xNzYzMTE0NTAw" TargetMode="External"/><Relationship Id="rId27" Type="http://schemas.openxmlformats.org/officeDocument/2006/relationships/hyperlink" Target="https://www.farnell.com/datasheets/2661581.pdf?_gl=1*1rm43cq*_gcl_aw*R0NMLjE3NjU2NDI2OTUuQ2owS0NRaUF1dlRKQmhDd0FSSXNBTDZEZW1nQjE0blpvT1IyQ1NYbkNNNF91aEoxNU0wTTlvSGdYSmZqVTVFOE1GWEZEMlBsaVJhUklmUWFBa3VTRUFMd193Y0I.*_gcl_au*MTQzMTk2NjUzNC4xNzY0MTcxMTE0" TargetMode="External"/><Relationship Id="rId30" Type="http://schemas.openxmlformats.org/officeDocument/2006/relationships/hyperlink" Target="https://www.farnell.com/datasheets/67043.pdf?_gl=1*1iej0tu*_gcl_aw*R0NMLjE3NjU2NDI2OTUuQ2owS0NRaUF1dlRKQmhDd0FSSXNBTDZEZW1nQjE0blpvT1IyQ1NYbkNNNF91aEoxNU0wTTlvSGdYSmZqVTVFOE1GWEZEMlBsaVJhUklmUWFBa3VTRUFMd193Y0I.*_gcl_au*MTQzMTk2NjUzNC4xNzY0MTcxMTE0" TargetMode="External"/><Relationship Id="rId8" Type="http://schemas.openxmlformats.org/officeDocument/2006/relationships/hyperlink" Target="https://www.gotronic.fr/pj-126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E815-D74F-41DD-9BF1-81CC1A09A844}">
  <dimension ref="A1:I50"/>
  <sheetViews>
    <sheetView tabSelected="1" zoomScale="85" zoomScaleNormal="85" workbookViewId="0">
      <selection activeCell="H5" sqref="H5"/>
    </sheetView>
  </sheetViews>
  <sheetFormatPr baseColWidth="10" defaultRowHeight="14.4" x14ac:dyDescent="0.3"/>
  <cols>
    <col min="1" max="1" width="54" bestFit="1" customWidth="1"/>
    <col min="2" max="2" width="6.109375" bestFit="1" customWidth="1"/>
    <col min="3" max="3" width="20.109375" bestFit="1" customWidth="1"/>
    <col min="4" max="4" width="6.88671875" bestFit="1" customWidth="1"/>
    <col min="5" max="5" width="24.5546875" bestFit="1" customWidth="1"/>
    <col min="6" max="6" width="19.33203125" bestFit="1" customWidth="1"/>
    <col min="7" max="7" width="59" bestFit="1" customWidth="1"/>
    <col min="8" max="8" width="14.109375" style="3" customWidth="1"/>
    <col min="9" max="9" width="80.88671875" bestFit="1" customWidth="1"/>
  </cols>
  <sheetData>
    <row r="1" spans="1:9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s="3" t="s">
        <v>193</v>
      </c>
      <c r="I1" t="s">
        <v>55</v>
      </c>
    </row>
    <row r="2" spans="1:9" x14ac:dyDescent="0.3">
      <c r="A2" s="1" t="s">
        <v>56</v>
      </c>
      <c r="B2">
        <v>1</v>
      </c>
      <c r="C2" s="1" t="s">
        <v>57</v>
      </c>
      <c r="D2" s="1" t="s">
        <v>58</v>
      </c>
      <c r="E2" s="1" t="s">
        <v>58</v>
      </c>
      <c r="F2" s="1" t="s">
        <v>58</v>
      </c>
      <c r="G2" s="1" t="s">
        <v>59</v>
      </c>
      <c r="H2" s="3">
        <v>35</v>
      </c>
      <c r="I2" s="2" t="s">
        <v>60</v>
      </c>
    </row>
    <row r="3" spans="1:9" x14ac:dyDescent="0.3">
      <c r="A3" s="1" t="s">
        <v>61</v>
      </c>
      <c r="B3">
        <v>2</v>
      </c>
      <c r="C3" s="1" t="s">
        <v>62</v>
      </c>
      <c r="D3" s="1" t="s">
        <v>58</v>
      </c>
      <c r="E3" s="1" t="s">
        <v>58</v>
      </c>
      <c r="F3" s="1" t="s">
        <v>58</v>
      </c>
      <c r="G3" s="1" t="s">
        <v>63</v>
      </c>
      <c r="H3" s="3">
        <f>7.36*SmartCar_Etudiant[[#This Row],[Qty]]</f>
        <v>14.72</v>
      </c>
      <c r="I3" s="2" t="s">
        <v>64</v>
      </c>
    </row>
    <row r="4" spans="1:9" x14ac:dyDescent="0.3">
      <c r="A4" s="1" t="s">
        <v>65</v>
      </c>
      <c r="B4">
        <v>15</v>
      </c>
      <c r="C4" s="1" t="s">
        <v>66</v>
      </c>
      <c r="D4" s="1" t="s">
        <v>58</v>
      </c>
      <c r="E4" s="1" t="s">
        <v>58</v>
      </c>
      <c r="F4" s="1" t="s">
        <v>58</v>
      </c>
      <c r="G4" s="1" t="s">
        <v>63</v>
      </c>
      <c r="H4" s="3">
        <f>2.19*SmartCar_Etudiant[[#This Row],[Qty]]</f>
        <v>32.85</v>
      </c>
      <c r="I4" s="2" t="s">
        <v>67</v>
      </c>
    </row>
    <row r="5" spans="1:9" x14ac:dyDescent="0.3">
      <c r="A5" s="1" t="s">
        <v>68</v>
      </c>
      <c r="B5">
        <v>1</v>
      </c>
      <c r="C5" s="1" t="s">
        <v>66</v>
      </c>
      <c r="D5" s="1" t="s">
        <v>58</v>
      </c>
      <c r="E5" s="1" t="s">
        <v>58</v>
      </c>
      <c r="F5" s="1" t="s">
        <v>58</v>
      </c>
      <c r="G5" s="1" t="s">
        <v>69</v>
      </c>
      <c r="H5" s="3">
        <v>10.5</v>
      </c>
      <c r="I5" s="2" t="s">
        <v>70</v>
      </c>
    </row>
    <row r="6" spans="1:9" x14ac:dyDescent="0.3">
      <c r="A6" s="1" t="s">
        <v>71</v>
      </c>
      <c r="B6">
        <v>1</v>
      </c>
      <c r="C6" s="1" t="s">
        <v>72</v>
      </c>
      <c r="D6" s="1" t="s">
        <v>58</v>
      </c>
      <c r="E6" s="1" t="s">
        <v>58</v>
      </c>
      <c r="F6" s="1" t="s">
        <v>58</v>
      </c>
      <c r="G6" s="1" t="s">
        <v>63</v>
      </c>
      <c r="H6" s="3">
        <v>7.36</v>
      </c>
      <c r="I6" s="2" t="s">
        <v>64</v>
      </c>
    </row>
    <row r="7" spans="1:9" x14ac:dyDescent="0.3">
      <c r="A7" s="1" t="s">
        <v>73</v>
      </c>
      <c r="B7">
        <v>1</v>
      </c>
      <c r="C7" s="1" t="s">
        <v>74</v>
      </c>
      <c r="D7" s="1" t="s">
        <v>58</v>
      </c>
      <c r="E7" s="1" t="s">
        <v>58</v>
      </c>
      <c r="F7" s="1" t="s">
        <v>58</v>
      </c>
      <c r="G7" s="1" t="s">
        <v>75</v>
      </c>
      <c r="H7" s="3">
        <v>7.5</v>
      </c>
      <c r="I7" s="2" t="s">
        <v>76</v>
      </c>
    </row>
    <row r="8" spans="1:9" x14ac:dyDescent="0.3">
      <c r="A8" s="1" t="s">
        <v>77</v>
      </c>
      <c r="B8">
        <v>2</v>
      </c>
      <c r="C8" s="1" t="s">
        <v>78</v>
      </c>
      <c r="D8" s="1" t="s">
        <v>58</v>
      </c>
      <c r="E8" s="1" t="s">
        <v>58</v>
      </c>
      <c r="F8" s="1" t="s">
        <v>58</v>
      </c>
      <c r="G8" s="1" t="s">
        <v>63</v>
      </c>
      <c r="H8" s="3">
        <f>2.19*SmartCar_Etudiant[[#This Row],[Qty]]</f>
        <v>4.38</v>
      </c>
      <c r="I8" s="2" t="s">
        <v>67</v>
      </c>
    </row>
    <row r="9" spans="1:9" x14ac:dyDescent="0.3">
      <c r="A9" s="1" t="s">
        <v>79</v>
      </c>
      <c r="B9">
        <v>3</v>
      </c>
      <c r="C9" s="1" t="s">
        <v>80</v>
      </c>
      <c r="D9" s="1" t="s">
        <v>58</v>
      </c>
      <c r="E9" s="1" t="s">
        <v>58</v>
      </c>
      <c r="F9" s="1" t="s">
        <v>58</v>
      </c>
      <c r="G9" s="1" t="s">
        <v>81</v>
      </c>
      <c r="H9" s="3">
        <f>10*SmartCar_Etudiant[[#This Row],[Qty]]</f>
        <v>30</v>
      </c>
      <c r="I9" s="2" t="s">
        <v>82</v>
      </c>
    </row>
    <row r="10" spans="1:9" x14ac:dyDescent="0.3">
      <c r="A10" s="1" t="s">
        <v>83</v>
      </c>
      <c r="B10">
        <v>3</v>
      </c>
      <c r="C10" s="1" t="s">
        <v>84</v>
      </c>
      <c r="D10" s="1" t="s">
        <v>58</v>
      </c>
      <c r="E10" s="1" t="s">
        <v>58</v>
      </c>
      <c r="F10" s="1" t="s">
        <v>58</v>
      </c>
      <c r="G10" s="1" t="s">
        <v>85</v>
      </c>
      <c r="H10" s="3">
        <f>7.99*SmartCar_Etudiant[[#This Row],[Qty]]</f>
        <v>23.97</v>
      </c>
      <c r="I10" s="2" t="s">
        <v>82</v>
      </c>
    </row>
    <row r="11" spans="1:9" x14ac:dyDescent="0.3">
      <c r="A11" s="1" t="s">
        <v>86</v>
      </c>
      <c r="B11">
        <v>1</v>
      </c>
      <c r="C11" s="1" t="s">
        <v>87</v>
      </c>
      <c r="D11" s="1" t="s">
        <v>58</v>
      </c>
      <c r="E11" s="1" t="s">
        <v>58</v>
      </c>
      <c r="F11" s="1" t="s">
        <v>58</v>
      </c>
      <c r="G11" s="1" t="s">
        <v>88</v>
      </c>
      <c r="H11" s="3">
        <v>15</v>
      </c>
      <c r="I11" s="2" t="s">
        <v>82</v>
      </c>
    </row>
    <row r="12" spans="1:9" x14ac:dyDescent="0.3">
      <c r="A12" s="1" t="s">
        <v>89</v>
      </c>
      <c r="B12">
        <v>1</v>
      </c>
      <c r="C12" s="1" t="s">
        <v>90</v>
      </c>
      <c r="D12" s="1" t="s">
        <v>58</v>
      </c>
      <c r="E12" s="1" t="s">
        <v>58</v>
      </c>
      <c r="F12" s="1" t="s">
        <v>58</v>
      </c>
      <c r="G12" s="1" t="s">
        <v>91</v>
      </c>
      <c r="H12" s="3">
        <v>12</v>
      </c>
      <c r="I12" s="2" t="s">
        <v>82</v>
      </c>
    </row>
    <row r="13" spans="1:9" x14ac:dyDescent="0.3">
      <c r="A13" s="1" t="s">
        <v>92</v>
      </c>
      <c r="B13">
        <v>1</v>
      </c>
      <c r="C13" s="1" t="s">
        <v>93</v>
      </c>
      <c r="D13" s="1" t="s">
        <v>58</v>
      </c>
      <c r="E13" s="1" t="s">
        <v>58</v>
      </c>
      <c r="F13" s="1" t="s">
        <v>58</v>
      </c>
      <c r="G13" s="1" t="s">
        <v>94</v>
      </c>
      <c r="H13" s="3">
        <v>30.6</v>
      </c>
      <c r="I13" s="2" t="s">
        <v>95</v>
      </c>
    </row>
    <row r="14" spans="1:9" x14ac:dyDescent="0.3">
      <c r="A14" s="1" t="s">
        <v>96</v>
      </c>
      <c r="B14">
        <v>2</v>
      </c>
      <c r="C14" s="1" t="s">
        <v>97</v>
      </c>
      <c r="D14" s="1" t="s">
        <v>58</v>
      </c>
      <c r="E14" s="1" t="s">
        <v>58</v>
      </c>
      <c r="F14" s="1" t="s">
        <v>58</v>
      </c>
      <c r="G14" s="1" t="s">
        <v>98</v>
      </c>
      <c r="H14" s="3">
        <f>25.5*2</f>
        <v>51</v>
      </c>
      <c r="I14" s="2" t="s">
        <v>99</v>
      </c>
    </row>
    <row r="15" spans="1:9" x14ac:dyDescent="0.3">
      <c r="A15" s="1" t="s">
        <v>100</v>
      </c>
      <c r="B15">
        <v>1</v>
      </c>
      <c r="C15" s="1" t="s">
        <v>101</v>
      </c>
      <c r="D15" s="1" t="s">
        <v>58</v>
      </c>
      <c r="E15" s="1" t="s">
        <v>58</v>
      </c>
      <c r="F15" s="1" t="s">
        <v>58</v>
      </c>
      <c r="G15" s="1" t="s">
        <v>102</v>
      </c>
      <c r="H15" s="3">
        <v>44.3</v>
      </c>
      <c r="I15" s="2" t="s">
        <v>103</v>
      </c>
    </row>
    <row r="16" spans="1:9" x14ac:dyDescent="0.3">
      <c r="A16" s="1" t="s">
        <v>104</v>
      </c>
      <c r="B16">
        <v>2</v>
      </c>
      <c r="C16" s="1" t="s">
        <v>105</v>
      </c>
      <c r="D16" s="1" t="s">
        <v>58</v>
      </c>
      <c r="E16" s="1" t="s">
        <v>58</v>
      </c>
      <c r="F16" s="1" t="s">
        <v>58</v>
      </c>
      <c r="G16" s="1" t="s">
        <v>106</v>
      </c>
      <c r="H16" s="3">
        <f>44.3*SmartCar_Etudiant[[#This Row],[Qty]]</f>
        <v>88.6</v>
      </c>
      <c r="I16" s="2" t="s">
        <v>103</v>
      </c>
    </row>
    <row r="17" spans="1:9" x14ac:dyDescent="0.3">
      <c r="A17" s="1" t="s">
        <v>107</v>
      </c>
      <c r="B17">
        <v>1</v>
      </c>
      <c r="C17" s="1" t="s">
        <v>108</v>
      </c>
      <c r="D17" s="1" t="s">
        <v>58</v>
      </c>
      <c r="E17" s="1" t="s">
        <v>58</v>
      </c>
      <c r="F17" s="1" t="s">
        <v>58</v>
      </c>
      <c r="G17" s="1" t="s">
        <v>109</v>
      </c>
      <c r="H17" s="3">
        <v>44.3</v>
      </c>
      <c r="I17" s="2" t="s">
        <v>103</v>
      </c>
    </row>
    <row r="18" spans="1:9" x14ac:dyDescent="0.3">
      <c r="A18" s="1" t="s">
        <v>110</v>
      </c>
      <c r="B18">
        <v>2</v>
      </c>
      <c r="C18" s="1" t="s">
        <v>111</v>
      </c>
      <c r="D18" s="1" t="s">
        <v>58</v>
      </c>
      <c r="E18" s="1" t="s">
        <v>112</v>
      </c>
      <c r="F18" s="1" t="s">
        <v>58</v>
      </c>
      <c r="G18" s="1" t="s">
        <v>113</v>
      </c>
      <c r="H18" s="3">
        <f>44.3*SmartCar_Etudiant[[#This Row],[Qty]]</f>
        <v>88.6</v>
      </c>
      <c r="I18" s="2" t="s">
        <v>114</v>
      </c>
    </row>
    <row r="19" spans="1:9" x14ac:dyDescent="0.3">
      <c r="A19" s="1" t="s">
        <v>115</v>
      </c>
      <c r="B19">
        <v>1</v>
      </c>
      <c r="C19" s="1" t="s">
        <v>116</v>
      </c>
      <c r="D19" s="1" t="s">
        <v>58</v>
      </c>
      <c r="E19" s="1" t="s">
        <v>58</v>
      </c>
      <c r="F19" s="1" t="s">
        <v>58</v>
      </c>
      <c r="G19" s="1" t="s">
        <v>117</v>
      </c>
      <c r="H19" s="3">
        <v>44.3</v>
      </c>
      <c r="I19" s="2" t="s">
        <v>114</v>
      </c>
    </row>
    <row r="20" spans="1:9" x14ac:dyDescent="0.3">
      <c r="A20" s="1" t="s">
        <v>118</v>
      </c>
      <c r="B20">
        <v>3</v>
      </c>
      <c r="C20" s="1" t="s">
        <v>119</v>
      </c>
      <c r="D20" s="1" t="s">
        <v>58</v>
      </c>
      <c r="E20" s="1" t="s">
        <v>112</v>
      </c>
      <c r="F20" s="1" t="s">
        <v>58</v>
      </c>
      <c r="G20" s="1" t="s">
        <v>113</v>
      </c>
      <c r="H20" s="3">
        <f>44.3*SmartCar_Etudiant[[#This Row],[Qty]]</f>
        <v>132.89999999999998</v>
      </c>
      <c r="I20" s="2" t="s">
        <v>114</v>
      </c>
    </row>
    <row r="21" spans="1:9" x14ac:dyDescent="0.3">
      <c r="A21" s="1" t="s">
        <v>120</v>
      </c>
      <c r="B21">
        <v>1</v>
      </c>
      <c r="C21" s="1" t="s">
        <v>121</v>
      </c>
      <c r="D21" s="1" t="s">
        <v>58</v>
      </c>
      <c r="E21" s="1" t="s">
        <v>58</v>
      </c>
      <c r="F21" s="1" t="s">
        <v>58</v>
      </c>
      <c r="G21" s="1" t="s">
        <v>122</v>
      </c>
      <c r="H21" s="3">
        <v>147</v>
      </c>
      <c r="I21" s="2" t="s">
        <v>123</v>
      </c>
    </row>
    <row r="22" spans="1:9" x14ac:dyDescent="0.3">
      <c r="A22" s="1" t="s">
        <v>124</v>
      </c>
      <c r="B22">
        <v>1</v>
      </c>
      <c r="C22" s="1" t="s">
        <v>125</v>
      </c>
      <c r="D22" s="1" t="s">
        <v>58</v>
      </c>
      <c r="E22" s="1" t="s">
        <v>58</v>
      </c>
      <c r="F22" s="1" t="s">
        <v>58</v>
      </c>
      <c r="G22" s="1" t="s">
        <v>126</v>
      </c>
      <c r="H22" s="3">
        <v>22.5</v>
      </c>
      <c r="I22" s="2" t="s">
        <v>127</v>
      </c>
    </row>
    <row r="23" spans="1:9" x14ac:dyDescent="0.3">
      <c r="A23" s="1" t="s">
        <v>128</v>
      </c>
      <c r="B23">
        <v>1</v>
      </c>
      <c r="C23" s="1" t="s">
        <v>129</v>
      </c>
      <c r="D23" s="1" t="s">
        <v>58</v>
      </c>
      <c r="E23" s="1" t="s">
        <v>58</v>
      </c>
      <c r="F23" s="1" t="s">
        <v>58</v>
      </c>
      <c r="G23" s="1" t="s">
        <v>130</v>
      </c>
      <c r="H23" s="3">
        <v>25.5</v>
      </c>
      <c r="I23" s="2" t="s">
        <v>131</v>
      </c>
    </row>
    <row r="24" spans="1:9" x14ac:dyDescent="0.3">
      <c r="A24" s="1" t="s">
        <v>132</v>
      </c>
      <c r="B24">
        <v>1</v>
      </c>
      <c r="C24" s="1" t="s">
        <v>133</v>
      </c>
      <c r="D24" s="1" t="s">
        <v>58</v>
      </c>
      <c r="E24" s="1" t="s">
        <v>58</v>
      </c>
      <c r="F24" s="1" t="s">
        <v>58</v>
      </c>
      <c r="G24" s="1" t="s">
        <v>134</v>
      </c>
      <c r="H24" s="3">
        <v>16.600000000000001</v>
      </c>
      <c r="I24" s="2" t="s">
        <v>135</v>
      </c>
    </row>
    <row r="25" spans="1:9" x14ac:dyDescent="0.3">
      <c r="A25" s="1" t="s">
        <v>136</v>
      </c>
      <c r="B25">
        <v>1</v>
      </c>
      <c r="C25" s="1" t="s">
        <v>137</v>
      </c>
      <c r="D25" s="1" t="s">
        <v>58</v>
      </c>
      <c r="E25" s="1" t="s">
        <v>58</v>
      </c>
      <c r="F25" s="1" t="s">
        <v>58</v>
      </c>
      <c r="G25" s="1" t="s">
        <v>138</v>
      </c>
      <c r="H25" s="3">
        <v>10.8</v>
      </c>
      <c r="I25" s="2" t="s">
        <v>139</v>
      </c>
    </row>
    <row r="26" spans="1:9" x14ac:dyDescent="0.3">
      <c r="A26" s="1" t="s">
        <v>140</v>
      </c>
      <c r="B26">
        <v>1</v>
      </c>
      <c r="C26" s="1" t="s">
        <v>141</v>
      </c>
      <c r="D26" s="1" t="s">
        <v>58</v>
      </c>
      <c r="E26" s="1" t="s">
        <v>58</v>
      </c>
      <c r="F26" s="1" t="s">
        <v>58</v>
      </c>
      <c r="G26" s="1" t="s">
        <v>142</v>
      </c>
      <c r="H26" s="3">
        <v>36.9</v>
      </c>
      <c r="I26" s="2" t="s">
        <v>143</v>
      </c>
    </row>
    <row r="27" spans="1:9" x14ac:dyDescent="0.3">
      <c r="A27" s="1" t="s">
        <v>144</v>
      </c>
      <c r="B27">
        <v>2</v>
      </c>
      <c r="C27" s="1" t="s">
        <v>145</v>
      </c>
      <c r="D27" s="1" t="s">
        <v>58</v>
      </c>
      <c r="E27" s="1" t="s">
        <v>58</v>
      </c>
      <c r="F27" s="1" t="s">
        <v>58</v>
      </c>
      <c r="G27" s="1" t="s">
        <v>146</v>
      </c>
      <c r="I27" s="1" t="s">
        <v>78</v>
      </c>
    </row>
    <row r="28" spans="1:9" x14ac:dyDescent="0.3">
      <c r="A28" s="1" t="s">
        <v>147</v>
      </c>
      <c r="B28">
        <v>1</v>
      </c>
      <c r="C28" s="1" t="s">
        <v>148</v>
      </c>
      <c r="D28" s="1" t="s">
        <v>58</v>
      </c>
      <c r="E28" s="1" t="s">
        <v>58</v>
      </c>
      <c r="F28" s="1" t="s">
        <v>58</v>
      </c>
      <c r="G28" s="1" t="s">
        <v>146</v>
      </c>
      <c r="I28" s="1" t="s">
        <v>78</v>
      </c>
    </row>
    <row r="29" spans="1:9" x14ac:dyDescent="0.3">
      <c r="A29" s="1" t="s">
        <v>149</v>
      </c>
      <c r="B29">
        <v>1</v>
      </c>
      <c r="C29" s="1" t="s">
        <v>150</v>
      </c>
      <c r="D29" s="1" t="s">
        <v>58</v>
      </c>
      <c r="E29" s="1" t="s">
        <v>58</v>
      </c>
      <c r="F29" s="1" t="s">
        <v>58</v>
      </c>
      <c r="G29" s="1" t="s">
        <v>146</v>
      </c>
      <c r="I29" s="1" t="s">
        <v>78</v>
      </c>
    </row>
    <row r="30" spans="1:9" x14ac:dyDescent="0.3">
      <c r="A30" s="1" t="s">
        <v>151</v>
      </c>
      <c r="B30">
        <v>2</v>
      </c>
      <c r="C30" s="1" t="s">
        <v>152</v>
      </c>
      <c r="D30" s="1" t="s">
        <v>58</v>
      </c>
      <c r="E30" s="1" t="s">
        <v>58</v>
      </c>
      <c r="F30" s="1" t="s">
        <v>58</v>
      </c>
      <c r="G30" s="1" t="s">
        <v>146</v>
      </c>
      <c r="I30" s="1" t="s">
        <v>78</v>
      </c>
    </row>
    <row r="31" spans="1:9" x14ac:dyDescent="0.3">
      <c r="A31" s="1" t="s">
        <v>153</v>
      </c>
      <c r="B31">
        <v>1</v>
      </c>
      <c r="C31" s="1" t="s">
        <v>154</v>
      </c>
      <c r="D31" s="1" t="s">
        <v>58</v>
      </c>
      <c r="E31" s="1" t="s">
        <v>58</v>
      </c>
      <c r="F31" s="1" t="s">
        <v>58</v>
      </c>
      <c r="G31" s="1" t="s">
        <v>146</v>
      </c>
      <c r="I31" s="1" t="s">
        <v>78</v>
      </c>
    </row>
    <row r="32" spans="1:9" x14ac:dyDescent="0.3">
      <c r="A32" s="1" t="s">
        <v>155</v>
      </c>
      <c r="B32">
        <v>3</v>
      </c>
      <c r="C32" s="1" t="s">
        <v>156</v>
      </c>
      <c r="D32" s="1" t="s">
        <v>58</v>
      </c>
      <c r="E32" s="1" t="s">
        <v>58</v>
      </c>
      <c r="F32" s="1" t="s">
        <v>58</v>
      </c>
      <c r="G32" s="1" t="s">
        <v>157</v>
      </c>
      <c r="I32" s="1" t="s">
        <v>78</v>
      </c>
    </row>
    <row r="33" spans="1:9" x14ac:dyDescent="0.3">
      <c r="A33" s="1" t="s">
        <v>158</v>
      </c>
      <c r="B33">
        <v>1</v>
      </c>
      <c r="C33" s="1" t="s">
        <v>159</v>
      </c>
      <c r="D33" s="1" t="s">
        <v>58</v>
      </c>
      <c r="E33" s="1" t="s">
        <v>58</v>
      </c>
      <c r="F33" s="1" t="s">
        <v>58</v>
      </c>
      <c r="G33" s="1" t="s">
        <v>157</v>
      </c>
      <c r="I33" s="1" t="s">
        <v>78</v>
      </c>
    </row>
    <row r="34" spans="1:9" x14ac:dyDescent="0.3">
      <c r="A34" s="1" t="s">
        <v>160</v>
      </c>
      <c r="B34">
        <v>1</v>
      </c>
      <c r="C34" s="1" t="s">
        <v>161</v>
      </c>
      <c r="D34" s="1" t="s">
        <v>58</v>
      </c>
      <c r="E34" s="1" t="s">
        <v>58</v>
      </c>
      <c r="F34" s="1" t="s">
        <v>58</v>
      </c>
      <c r="G34" s="1" t="s">
        <v>146</v>
      </c>
      <c r="I34" s="1" t="s">
        <v>78</v>
      </c>
    </row>
    <row r="35" spans="1:9" x14ac:dyDescent="0.3">
      <c r="A35" s="1" t="s">
        <v>162</v>
      </c>
      <c r="B35">
        <v>1</v>
      </c>
      <c r="C35" s="1" t="s">
        <v>152</v>
      </c>
      <c r="D35" s="1" t="s">
        <v>58</v>
      </c>
      <c r="E35" s="1" t="s">
        <v>58</v>
      </c>
      <c r="F35" s="1" t="s">
        <v>58</v>
      </c>
      <c r="G35" s="1" t="s">
        <v>157</v>
      </c>
      <c r="I35" s="1" t="s">
        <v>78</v>
      </c>
    </row>
    <row r="36" spans="1:9" x14ac:dyDescent="0.3">
      <c r="A36" s="1" t="s">
        <v>163</v>
      </c>
      <c r="B36">
        <v>4</v>
      </c>
      <c r="C36" s="1" t="s">
        <v>164</v>
      </c>
      <c r="D36" s="1" t="s">
        <v>58</v>
      </c>
      <c r="E36" s="1" t="s">
        <v>58</v>
      </c>
      <c r="F36" s="1" t="s">
        <v>58</v>
      </c>
      <c r="G36" s="1" t="s">
        <v>157</v>
      </c>
      <c r="I36" s="1" t="s">
        <v>78</v>
      </c>
    </row>
    <row r="37" spans="1:9" x14ac:dyDescent="0.3">
      <c r="A37" s="1" t="s">
        <v>165</v>
      </c>
      <c r="B37">
        <v>2</v>
      </c>
      <c r="C37" s="1" t="s">
        <v>148</v>
      </c>
      <c r="D37" s="1" t="s">
        <v>58</v>
      </c>
      <c r="E37" s="1" t="s">
        <v>58</v>
      </c>
      <c r="F37" s="1" t="s">
        <v>58</v>
      </c>
      <c r="G37" s="1" t="s">
        <v>157</v>
      </c>
      <c r="I37" s="1" t="s">
        <v>78</v>
      </c>
    </row>
    <row r="38" spans="1:9" x14ac:dyDescent="0.3">
      <c r="A38" s="1" t="s">
        <v>166</v>
      </c>
      <c r="B38">
        <v>3</v>
      </c>
      <c r="C38" s="1" t="s">
        <v>167</v>
      </c>
      <c r="D38" s="1" t="s">
        <v>58</v>
      </c>
      <c r="E38" s="1" t="s">
        <v>58</v>
      </c>
      <c r="F38" s="1" t="s">
        <v>58</v>
      </c>
      <c r="G38" s="1" t="s">
        <v>146</v>
      </c>
      <c r="I38" s="1" t="s">
        <v>78</v>
      </c>
    </row>
    <row r="39" spans="1:9" x14ac:dyDescent="0.3">
      <c r="A39" s="1" t="s">
        <v>168</v>
      </c>
      <c r="B39">
        <v>1</v>
      </c>
      <c r="C39" s="1" t="s">
        <v>164</v>
      </c>
      <c r="D39" s="1" t="s">
        <v>58</v>
      </c>
      <c r="E39" s="1" t="s">
        <v>58</v>
      </c>
      <c r="F39" s="1" t="s">
        <v>58</v>
      </c>
      <c r="G39" s="1" t="s">
        <v>146</v>
      </c>
      <c r="I39" s="1" t="s">
        <v>78</v>
      </c>
    </row>
    <row r="40" spans="1:9" x14ac:dyDescent="0.3">
      <c r="A40" s="1" t="s">
        <v>169</v>
      </c>
      <c r="B40">
        <v>1</v>
      </c>
      <c r="C40" s="1" t="s">
        <v>159</v>
      </c>
      <c r="D40" s="1" t="s">
        <v>58</v>
      </c>
      <c r="E40" s="1" t="s">
        <v>58</v>
      </c>
      <c r="F40" s="1" t="s">
        <v>58</v>
      </c>
      <c r="G40" s="1" t="s">
        <v>146</v>
      </c>
      <c r="I40" s="1" t="s">
        <v>78</v>
      </c>
    </row>
    <row r="41" spans="1:9" x14ac:dyDescent="0.3">
      <c r="A41" s="1" t="s">
        <v>170</v>
      </c>
      <c r="B41">
        <v>3</v>
      </c>
      <c r="C41" s="1" t="s">
        <v>78</v>
      </c>
      <c r="D41" s="1" t="s">
        <v>58</v>
      </c>
      <c r="E41" s="1" t="s">
        <v>58</v>
      </c>
      <c r="F41" s="1" t="s">
        <v>58</v>
      </c>
      <c r="G41" s="1" t="s">
        <v>146</v>
      </c>
      <c r="I41" s="1" t="s">
        <v>78</v>
      </c>
    </row>
    <row r="42" spans="1:9" x14ac:dyDescent="0.3">
      <c r="A42" s="1" t="s">
        <v>171</v>
      </c>
      <c r="B42">
        <v>1</v>
      </c>
      <c r="C42" s="1" t="s">
        <v>172</v>
      </c>
      <c r="D42" s="1" t="s">
        <v>58</v>
      </c>
      <c r="E42" s="1" t="s">
        <v>58</v>
      </c>
      <c r="F42" s="1" t="s">
        <v>58</v>
      </c>
      <c r="G42" s="1" t="s">
        <v>173</v>
      </c>
      <c r="H42" s="3">
        <v>9.6300000000000008</v>
      </c>
      <c r="I42" s="2" t="s">
        <v>174</v>
      </c>
    </row>
    <row r="43" spans="1:9" x14ac:dyDescent="0.3">
      <c r="A43" s="1" t="s">
        <v>175</v>
      </c>
      <c r="B43">
        <v>1</v>
      </c>
      <c r="C43" s="1" t="s">
        <v>156</v>
      </c>
      <c r="D43" s="1" t="s">
        <v>58</v>
      </c>
      <c r="E43" s="1" t="s">
        <v>58</v>
      </c>
      <c r="F43" s="1" t="s">
        <v>58</v>
      </c>
      <c r="G43" s="1" t="s">
        <v>176</v>
      </c>
      <c r="H43" s="3">
        <f>31</f>
        <v>31</v>
      </c>
      <c r="I43" s="2" t="s">
        <v>177</v>
      </c>
    </row>
    <row r="44" spans="1:9" x14ac:dyDescent="0.3">
      <c r="A44" s="1" t="s">
        <v>178</v>
      </c>
      <c r="B44">
        <v>2</v>
      </c>
      <c r="C44" s="1" t="s">
        <v>164</v>
      </c>
      <c r="D44" s="1" t="s">
        <v>58</v>
      </c>
      <c r="E44" s="1" t="s">
        <v>58</v>
      </c>
      <c r="F44" s="1" t="s">
        <v>58</v>
      </c>
      <c r="G44" s="1" t="s">
        <v>176</v>
      </c>
      <c r="H44" s="3">
        <f>31*SmartCar_Etudiant[[#This Row],[Qty]]</f>
        <v>62</v>
      </c>
      <c r="I44" s="2" t="s">
        <v>177</v>
      </c>
    </row>
    <row r="45" spans="1:9" x14ac:dyDescent="0.3">
      <c r="A45" s="1" t="s">
        <v>179</v>
      </c>
      <c r="B45">
        <v>1</v>
      </c>
      <c r="C45" s="1" t="s">
        <v>180</v>
      </c>
      <c r="D45" s="1" t="s">
        <v>58</v>
      </c>
      <c r="E45" s="1" t="s">
        <v>58</v>
      </c>
      <c r="F45" s="1" t="s">
        <v>58</v>
      </c>
      <c r="G45" s="1" t="s">
        <v>176</v>
      </c>
      <c r="H45" s="3">
        <f>31*SmartCar_Etudiant[[#This Row],[Qty]]</f>
        <v>31</v>
      </c>
      <c r="I45" s="2" t="s">
        <v>177</v>
      </c>
    </row>
    <row r="46" spans="1:9" x14ac:dyDescent="0.3">
      <c r="A46" s="1" t="s">
        <v>181</v>
      </c>
      <c r="B46">
        <v>12</v>
      </c>
      <c r="C46" s="1" t="s">
        <v>182</v>
      </c>
      <c r="D46" s="1" t="s">
        <v>58</v>
      </c>
      <c r="E46" s="1" t="s">
        <v>58</v>
      </c>
      <c r="F46" s="1" t="s">
        <v>58</v>
      </c>
      <c r="G46" s="1" t="s">
        <v>183</v>
      </c>
      <c r="H46" s="3">
        <f>3.6*SmartCar_Etudiant[[#This Row],[Qty]]</f>
        <v>43.2</v>
      </c>
      <c r="I46" s="2" t="s">
        <v>184</v>
      </c>
    </row>
    <row r="47" spans="1:9" x14ac:dyDescent="0.3">
      <c r="A47" s="1" t="s">
        <v>185</v>
      </c>
      <c r="B47">
        <v>3</v>
      </c>
      <c r="C47" s="1" t="s">
        <v>186</v>
      </c>
      <c r="D47" s="1" t="s">
        <v>58</v>
      </c>
      <c r="E47" s="1" t="s">
        <v>58</v>
      </c>
      <c r="F47" s="1" t="s">
        <v>58</v>
      </c>
      <c r="G47" s="1" t="s">
        <v>187</v>
      </c>
      <c r="H47" s="3">
        <f>35.2*SmartCar_Etudiant[[#This Row],[Qty]]</f>
        <v>105.60000000000001</v>
      </c>
      <c r="I47" s="2" t="s">
        <v>188</v>
      </c>
    </row>
    <row r="48" spans="1:9" x14ac:dyDescent="0.3">
      <c r="A48" s="1" t="s">
        <v>189</v>
      </c>
      <c r="B48">
        <v>1</v>
      </c>
      <c r="C48" s="1" t="s">
        <v>190</v>
      </c>
      <c r="D48" s="1" t="s">
        <v>58</v>
      </c>
      <c r="E48" s="1" t="s">
        <v>58</v>
      </c>
      <c r="F48" s="1" t="s">
        <v>58</v>
      </c>
      <c r="G48" s="1" t="s">
        <v>191</v>
      </c>
      <c r="H48" s="3">
        <v>27.8</v>
      </c>
      <c r="I48" s="2" t="s">
        <v>192</v>
      </c>
    </row>
    <row r="50" spans="7:8" x14ac:dyDescent="0.3">
      <c r="G50" s="4" t="s">
        <v>194</v>
      </c>
      <c r="H50" s="5">
        <f>SUM(SmartCar_Etudiant[Prix de 100])</f>
        <v>1287.4099999999999</v>
      </c>
    </row>
  </sheetData>
  <hyperlinks>
    <hyperlink ref="I2" r:id="rId1" xr:uid="{FBBFB095-0F00-48BA-BE7F-67CC53187EB9}"/>
    <hyperlink ref="I3" r:id="rId2" xr:uid="{D47E238E-5B5E-4040-AED9-E10CF8FF93A3}"/>
    <hyperlink ref="I4" r:id="rId3" xr:uid="{C0514D5D-E18B-44C1-A5C2-E8AEE223B00F}"/>
    <hyperlink ref="I5" r:id="rId4" xr:uid="{671B46D2-B3B5-41F6-AF17-F4276C1E501C}"/>
    <hyperlink ref="I6" r:id="rId5" xr:uid="{B341CE2A-6A9E-4654-A285-B7D209AD37BF}"/>
    <hyperlink ref="I8" r:id="rId6" xr:uid="{4AF320CB-A462-4F2C-A0CA-5CF81BA6A246}"/>
    <hyperlink ref="I7" r:id="rId7" xr:uid="{0F24596C-2A05-4F97-9595-7C57BEFC82F6}"/>
    <hyperlink ref="I12" r:id="rId8" xr:uid="{93BF9FAB-F9F5-47B5-BAF6-22094C72FE98}"/>
    <hyperlink ref="I11" r:id="rId9" xr:uid="{D21C18A0-CB55-42AB-AA2C-69D3E1302188}"/>
    <hyperlink ref="I10" r:id="rId10" xr:uid="{ACA9E6BE-2864-42DD-BADB-0903605E00AE}"/>
    <hyperlink ref="I9" r:id="rId11" xr:uid="{1198C1D1-7134-4E39-BAB4-4DE8D3CA862F}"/>
    <hyperlink ref="I13" r:id="rId12" xr:uid="{259F16A6-77DB-47F0-9E41-99B957FEF2D6}"/>
    <hyperlink ref="I15" r:id="rId13" display="https://www.farnell.com/datasheets/2905949.pdf?_gl=1*1okw975*_gcl_aw*R0NMLjE3NjU2NDI2OTUuQ2owS0NRaUF1dlRKQmhDd0FSSXNBTDZEZW1nQjE0blpvT1IyQ1NYbkNNNF91aEoxNU0wTTlvSGdYSmZqVTVFOE1GWEZEMlBsaVJhUklmUWFBa3VTRUFMd193Y0I.*_gcl_au*MTQzMTk2NjUzNC4xNzY0MTcxMTE0 0 0 Centrer Centrer 0 0" xr:uid="{0B976B51-CAC3-47AD-ABBE-44B50517ACAC}"/>
    <hyperlink ref="I14" r:id="rId14" xr:uid="{75770245-E61B-47C3-8612-9BEFA1E40934}"/>
    <hyperlink ref="I18" r:id="rId15" xr:uid="{70300225-39BF-460B-A8C7-CCEA770CC318}"/>
    <hyperlink ref="I23" r:id="rId16" xr:uid="{BE54AFA5-C91D-4034-8B32-50AD38FEEEC3}"/>
    <hyperlink ref="I17" r:id="rId17" display="https://www.farnell.com/datasheets/2905949.pdf?_gl=1*1okw975*_gcl_aw*R0NMLjE3NjU2NDI2OTUuQ2owS0NRaUF1dlRKQmhDd0FSSXNBTDZEZW1nQjE0blpvT1IyQ1NYbkNNNF91aEoxNU0wTTlvSGdYSmZqVTVFOE1GWEZEMlBsaVJhUklmUWFBa3VTRUFMd193Y0I.*_gcl_au*MTQzMTk2NjUzNC4xNzY0MTcxMTE0 0 0 Centrer Centrer 0 0" xr:uid="{4F379FC4-DCFF-441D-8A41-C38846575539}"/>
    <hyperlink ref="I16" r:id="rId18" display="https://www.farnell.com/datasheets/2905949.pdf?_gl=1*1okw975*_gcl_aw*R0NMLjE3NjU2NDI2OTUuQ2owS0NRaUF1dlRKQmhDd0FSSXNBTDZEZW1nQjE0blpvT1IyQ1NYbkNNNF91aEoxNU0wTTlvSGdYSmZqVTVFOE1GWEZEMlBsaVJhUklmUWFBa3VTRUFMd193Y0I.*_gcl_au*MTQzMTk2NjUzNC4xNzY0MTcxMTE0 0 0 Centrer Centrer 0 0" xr:uid="{7D377BB4-AA53-4615-AE10-87AAFBA7169B}"/>
    <hyperlink ref="I19" r:id="rId19" xr:uid="{EDA06072-5FDB-4324-A81E-5AB5C1B33212}"/>
    <hyperlink ref="I47" r:id="rId20" xr:uid="{DE32B255-253E-41C7-9E5E-C360982CFC28}"/>
    <hyperlink ref="I46" r:id="rId21" xr:uid="{7FCA6E6F-9324-48E8-A1CE-27F2747F3181}"/>
    <hyperlink ref="I26" r:id="rId22" xr:uid="{350BE3B0-F378-43A6-8E4C-C5A24AAEDDBE}"/>
    <hyperlink ref="I21" r:id="rId23" xr:uid="{C7AD79AA-5801-41FB-B79F-853D1CF1ACAF}"/>
    <hyperlink ref="I20" r:id="rId24" xr:uid="{F7B08EA7-B593-4BEB-B984-80DB01745E70}"/>
    <hyperlink ref="I48" r:id="rId25" xr:uid="{0D4DAEC0-570F-427B-9F39-49FA8F7B7893}"/>
    <hyperlink ref="I45" r:id="rId26" xr:uid="{D2D9C78C-3EFA-4794-978B-69B5821CAD4B}"/>
    <hyperlink ref="I44" r:id="rId27" xr:uid="{94DAD957-C318-493D-9AC2-3E8973299118}"/>
    <hyperlink ref="I43" r:id="rId28" xr:uid="{0BD430B0-0709-4365-B795-1803E85FDC41}"/>
    <hyperlink ref="I42" r:id="rId29" xr:uid="{77AD4DA1-2E6E-44C8-9C71-4DB6446687F8}"/>
    <hyperlink ref="I25" r:id="rId30" xr:uid="{E22B81CC-29DD-4273-9194-68FEEEE25CE9}"/>
    <hyperlink ref="I24" r:id="rId31" xr:uid="{BB90D284-0BDB-46EA-B4F6-B3814B0F80F8}"/>
    <hyperlink ref="I22" r:id="rId32" xr:uid="{C6B528DD-862E-4BCE-AADC-C6CC32C34B9F}"/>
  </hyperlinks>
  <pageMargins left="0.7" right="0.7" top="0.75" bottom="0.75" header="0.3" footer="0.3"/>
  <tableParts count="1"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5C3E-FF9B-47BC-AB4A-979A358D50F7}">
  <dimension ref="A1:A48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049EBAE7A1744A8804640AE8444A92" ma:contentTypeVersion="14" ma:contentTypeDescription="Crée un document." ma:contentTypeScope="" ma:versionID="3f73d57bf27134cbc6275f621c6f4c85">
  <xsd:schema xmlns:xsd="http://www.w3.org/2001/XMLSchema" xmlns:xs="http://www.w3.org/2001/XMLSchema" xmlns:p="http://schemas.microsoft.com/office/2006/metadata/properties" xmlns:ns2="9ca87a40-4628-4095-9877-9b9dfd632b49" xmlns:ns3="abeac874-6489-4833-ae27-1445ccab0bf8" targetNamespace="http://schemas.microsoft.com/office/2006/metadata/properties" ma:root="true" ma:fieldsID="284eea6e4bb03f130cfe114be2332b80" ns2:_="" ns3:_="">
    <xsd:import namespace="9ca87a40-4628-4095-9877-9b9dfd632b49"/>
    <xsd:import namespace="abeac874-6489-4833-ae27-1445ccab0bf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87a40-4628-4095-9877-9b9dfd632b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ac874-6489-4833-ae27-1445ccab0b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77d3c74-8735-4543-b681-6dd5c5b0c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eac874-6489-4833-ae27-1445ccab0b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6B538B-CBF5-43CD-9D29-45ED0FC92A8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BD2C0DE-40AC-4E70-92D7-1E33CF39055C}"/>
</file>

<file path=customXml/itemProps3.xml><?xml version="1.0" encoding="utf-8"?>
<ds:datastoreItem xmlns:ds="http://schemas.openxmlformats.org/officeDocument/2006/customXml" ds:itemID="{7E0480DA-65FF-4834-9DF6-E51A6D92910F}"/>
</file>

<file path=customXml/itemProps4.xml><?xml version="1.0" encoding="utf-8"?>
<ds:datastoreItem xmlns:ds="http://schemas.openxmlformats.org/officeDocument/2006/customXml" ds:itemID="{5A0E9B0E-AAAC-4B6C-B06E-332E5F348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SmartCar_Etudiant (2)</vt:lpstr>
      <vt:lpstr>SmartCar_Etudiant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Paguiel Nganji Mucyo</cp:lastModifiedBy>
  <dcterms:created xsi:type="dcterms:W3CDTF">2026-01-24T18:27:40Z</dcterms:created>
  <dcterms:modified xsi:type="dcterms:W3CDTF">2026-01-24T19:17:52Z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0x01010033049EBAE7A1744A8804640AE8444A92</vt:lpwstr>
  </property>
</Properties>
</file>